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eLivro"/>
  <mc:AlternateContent xmlns:mc="http://schemas.openxmlformats.org/markup-compatibility/2006">
    <mc:Choice Requires="x15">
      <x15ac:absPath xmlns:x15ac="http://schemas.microsoft.com/office/spreadsheetml/2010/11/ac" url="C:\Users\durum\Documents\GitHub\Archive\"/>
    </mc:Choice>
  </mc:AlternateContent>
  <xr:revisionPtr revIDLastSave="0" documentId="13_ncr:8001_{BF389B98-2A5E-415C-A6A9-669634CF4447}" xr6:coauthVersionLast="47" xr6:coauthVersionMax="47" xr10:uidLastSave="{00000000-0000-0000-0000-000000000000}"/>
  <bookViews>
    <workbookView xWindow="-110" yWindow="-110" windowWidth="38620" windowHeight="21040" tabRatio="606" xr2:uid="{00000000-000D-0000-FFFF-FFFF00000000}"/>
  </bookViews>
  <sheets>
    <sheet name="Beam" sheetId="1" r:id="rId1"/>
    <sheet name="FICHEIRO.prn " sheetId="2" state="hidden" r:id="rId2"/>
    <sheet name="Folha3" sheetId="3" state="hidden" r:id="rId3"/>
  </sheets>
  <definedNames>
    <definedName name="_xlnm.Print_Area" localSheetId="0">Beam!$A$1:$BN$46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7" i="1" l="1"/>
  <c r="C27" i="1"/>
  <c r="B2" i="3"/>
  <c r="B15" i="3" s="1"/>
  <c r="B1" i="2" s="1"/>
  <c r="A4" i="3"/>
  <c r="A3" i="3"/>
  <c r="A16" i="3" s="1"/>
  <c r="A2" i="2" s="1"/>
  <c r="S2" i="3"/>
  <c r="S15" i="3" s="1"/>
  <c r="S1" i="2" s="1"/>
  <c r="Y15" i="3"/>
  <c r="Y1" i="2" s="1"/>
  <c r="BJ33" i="1"/>
  <c r="R2" i="3" s="1"/>
  <c r="R15" i="3" s="1"/>
  <c r="R1" i="2" s="1"/>
  <c r="Z15" i="3"/>
  <c r="Z1" i="2" s="1"/>
  <c r="Z4" i="3"/>
  <c r="Z5" i="3"/>
  <c r="Z6" i="3"/>
  <c r="Z7" i="3"/>
  <c r="Z8" i="3"/>
  <c r="Z9" i="3"/>
  <c r="Z3" i="3"/>
  <c r="Z16" i="3" s="1"/>
  <c r="Z2" i="2" s="1"/>
  <c r="Y9" i="3"/>
  <c r="Y4" i="3"/>
  <c r="Y5" i="3"/>
  <c r="Y6" i="3"/>
  <c r="Y7" i="3"/>
  <c r="Y8" i="3"/>
  <c r="Y3" i="3"/>
  <c r="Y16" i="3" s="1"/>
  <c r="Y2" i="2" s="1"/>
  <c r="DV24" i="1"/>
  <c r="DV7" i="1"/>
  <c r="DD7" i="1"/>
  <c r="DD24" i="1"/>
  <c r="CL7" i="1"/>
  <c r="CL24" i="1"/>
  <c r="BT24" i="1"/>
  <c r="BT7" i="1"/>
  <c r="BB24" i="1"/>
  <c r="BB7" i="1"/>
  <c r="AJ24" i="1"/>
  <c r="AJ7" i="1"/>
  <c r="R7" i="1"/>
  <c r="R24" i="1"/>
  <c r="X3" i="3"/>
  <c r="X16" i="3" s="1"/>
  <c r="X2" i="2" s="1"/>
  <c r="X4" i="3"/>
  <c r="X5" i="3"/>
  <c r="X6" i="3"/>
  <c r="X7" i="3"/>
  <c r="X8" i="3"/>
  <c r="X9" i="3"/>
  <c r="X10" i="3"/>
  <c r="A10" i="3"/>
  <c r="N2" i="3"/>
  <c r="N15" i="3" s="1"/>
  <c r="N1" i="2" s="1"/>
  <c r="M2" i="3"/>
  <c r="M15" i="3" s="1"/>
  <c r="M1" i="2" s="1"/>
  <c r="L2" i="3"/>
  <c r="L15" i="3"/>
  <c r="L1" i="2" s="1"/>
  <c r="K2" i="3"/>
  <c r="K15" i="3"/>
  <c r="K1" i="2" s="1"/>
  <c r="J2" i="3"/>
  <c r="J15" i="3" s="1"/>
  <c r="J1" i="2" s="1"/>
  <c r="I2" i="3"/>
  <c r="I15" i="3" s="1"/>
  <c r="I1" i="2" s="1"/>
  <c r="H2" i="3"/>
  <c r="H15" i="3" s="1"/>
  <c r="H1" i="2" s="1"/>
  <c r="G2" i="3"/>
  <c r="G15" i="3" s="1"/>
  <c r="G1" i="2" s="1"/>
  <c r="F2" i="3"/>
  <c r="F15" i="3" s="1"/>
  <c r="F1" i="2" s="1"/>
  <c r="EQ27" i="1"/>
  <c r="DY27" i="1"/>
  <c r="DG27" i="1"/>
  <c r="CO27" i="1"/>
  <c r="BW27" i="1"/>
  <c r="BE27" i="1"/>
  <c r="AM27" i="1"/>
  <c r="A38" i="3"/>
  <c r="A37" i="3" s="1"/>
  <c r="C2" i="3" s="1"/>
  <c r="T2" i="3"/>
  <c r="T15" i="3"/>
  <c r="T1" i="2" s="1"/>
  <c r="U2" i="3"/>
  <c r="U15" i="3"/>
  <c r="U1" i="2"/>
  <c r="V2" i="3"/>
  <c r="V15" i="3" s="1"/>
  <c r="V1" i="2" s="1"/>
  <c r="W2" i="3"/>
  <c r="W15" i="3" s="1"/>
  <c r="W1" i="2" s="1"/>
  <c r="V3" i="3"/>
  <c r="V16" i="3" s="1"/>
  <c r="V2" i="2" s="1"/>
  <c r="W3" i="3"/>
  <c r="W16" i="3" s="1"/>
  <c r="W2" i="2" s="1"/>
  <c r="T4" i="3"/>
  <c r="A2" i="3"/>
  <c r="A15" i="3" s="1"/>
  <c r="U4" i="3"/>
  <c r="V4" i="3"/>
  <c r="W4" i="3"/>
  <c r="T5" i="3"/>
  <c r="U5" i="3"/>
  <c r="V5" i="3"/>
  <c r="W5" i="3"/>
  <c r="T6" i="3"/>
  <c r="U6" i="3"/>
  <c r="V6" i="3"/>
  <c r="W6" i="3"/>
  <c r="T7" i="3"/>
  <c r="U7" i="3"/>
  <c r="V7" i="3"/>
  <c r="W7" i="3"/>
  <c r="T8" i="3"/>
  <c r="U8" i="3"/>
  <c r="V8" i="3"/>
  <c r="W8" i="3"/>
  <c r="T9" i="3"/>
  <c r="U9" i="3"/>
  <c r="V9" i="3"/>
  <c r="W9" i="3"/>
  <c r="T10" i="3"/>
  <c r="U10" i="3"/>
  <c r="V10" i="3"/>
  <c r="W10" i="3"/>
  <c r="P10" i="3"/>
  <c r="Q10" i="3"/>
  <c r="R10" i="3"/>
  <c r="S10" i="3"/>
  <c r="P9" i="3"/>
  <c r="Q9" i="3"/>
  <c r="R9" i="3"/>
  <c r="S9" i="3"/>
  <c r="P8" i="3"/>
  <c r="Q8" i="3"/>
  <c r="R8" i="3"/>
  <c r="S8" i="3"/>
  <c r="P7" i="3"/>
  <c r="Q7" i="3"/>
  <c r="R7" i="3"/>
  <c r="S7" i="3"/>
  <c r="P6" i="3"/>
  <c r="Q6" i="3"/>
  <c r="R6" i="3"/>
  <c r="S6" i="3"/>
  <c r="P5" i="3"/>
  <c r="Q5" i="3"/>
  <c r="R5" i="3"/>
  <c r="S5" i="3"/>
  <c r="P4" i="3"/>
  <c r="Q4" i="3"/>
  <c r="R4" i="3"/>
  <c r="S4" i="3"/>
  <c r="P3" i="3"/>
  <c r="P16" i="3"/>
  <c r="P2" i="2" s="1"/>
  <c r="Q3" i="3"/>
  <c r="Q16" i="3" s="1"/>
  <c r="Q2" i="2" s="1"/>
  <c r="R3" i="3"/>
  <c r="R16" i="3" s="1"/>
  <c r="R2" i="2" s="1"/>
  <c r="S3" i="3"/>
  <c r="S16" i="3" s="1"/>
  <c r="S2" i="2" s="1"/>
  <c r="B3" i="3"/>
  <c r="B16" i="3" s="1"/>
  <c r="B2" i="2" s="1"/>
  <c r="D2" i="3"/>
  <c r="D15" i="3" s="1"/>
  <c r="D1" i="2" s="1"/>
  <c r="E2" i="3"/>
  <c r="E15" i="3" s="1"/>
  <c r="E1" i="2" s="1"/>
  <c r="D3" i="3"/>
  <c r="D16" i="3" s="1"/>
  <c r="D2" i="2" s="1"/>
  <c r="E3" i="3"/>
  <c r="E16" i="3" s="1"/>
  <c r="E2" i="2" s="1"/>
  <c r="F3" i="3"/>
  <c r="F16" i="3" s="1"/>
  <c r="F2" i="2" s="1"/>
  <c r="G3" i="3"/>
  <c r="G16" i="3" s="1"/>
  <c r="G2" i="2" s="1"/>
  <c r="H3" i="3"/>
  <c r="H16" i="3" s="1"/>
  <c r="H2" i="2" s="1"/>
  <c r="I3" i="3"/>
  <c r="I16" i="3" s="1"/>
  <c r="I2" i="2" s="1"/>
  <c r="J3" i="3"/>
  <c r="J16" i="3" s="1"/>
  <c r="J2" i="2" s="1"/>
  <c r="K3" i="3"/>
  <c r="K16" i="3" s="1"/>
  <c r="K2" i="2" s="1"/>
  <c r="L3" i="3"/>
  <c r="L16" i="3" s="1"/>
  <c r="L2" i="2" s="1"/>
  <c r="M3" i="3"/>
  <c r="M16" i="3" s="1"/>
  <c r="M2" i="2" s="1"/>
  <c r="N3" i="3"/>
  <c r="N16" i="3" s="1"/>
  <c r="N2" i="2" s="1"/>
  <c r="O3" i="3"/>
  <c r="O16" i="3" s="1"/>
  <c r="O2" i="2" s="1"/>
  <c r="B4" i="3"/>
  <c r="C4" i="3"/>
  <c r="D4" i="3"/>
  <c r="E4" i="3"/>
  <c r="F4" i="3"/>
  <c r="G4" i="3"/>
  <c r="H4" i="3"/>
  <c r="I4" i="3"/>
  <c r="J4" i="3"/>
  <c r="K4" i="3"/>
  <c r="L4" i="3"/>
  <c r="M4" i="3"/>
  <c r="N4" i="3"/>
  <c r="O4" i="3"/>
  <c r="B5" i="3"/>
  <c r="C5" i="3"/>
  <c r="D5" i="3"/>
  <c r="E5" i="3"/>
  <c r="F5" i="3"/>
  <c r="G5" i="3"/>
  <c r="H5" i="3"/>
  <c r="I5" i="3"/>
  <c r="J5" i="3"/>
  <c r="K5" i="3"/>
  <c r="L5" i="3"/>
  <c r="M5" i="3"/>
  <c r="N5" i="3"/>
  <c r="O5" i="3"/>
  <c r="A6" i="3"/>
  <c r="B6" i="3"/>
  <c r="C6" i="3"/>
  <c r="D6" i="3"/>
  <c r="E6" i="3"/>
  <c r="F6" i="3"/>
  <c r="G6" i="3"/>
  <c r="H6" i="3"/>
  <c r="I6" i="3"/>
  <c r="J6" i="3"/>
  <c r="K6" i="3"/>
  <c r="L6" i="3"/>
  <c r="M6" i="3"/>
  <c r="N6" i="3"/>
  <c r="O6" i="3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A8" i="3"/>
  <c r="B8" i="3"/>
  <c r="C8" i="3"/>
  <c r="D8" i="3"/>
  <c r="E8" i="3"/>
  <c r="F8" i="3"/>
  <c r="G8" i="3"/>
  <c r="H8" i="3"/>
  <c r="I8" i="3"/>
  <c r="J8" i="3"/>
  <c r="K8" i="3"/>
  <c r="L8" i="3"/>
  <c r="M8" i="3"/>
  <c r="N8" i="3"/>
  <c r="O8" i="3"/>
  <c r="B9" i="3"/>
  <c r="C9" i="3"/>
  <c r="D9" i="3"/>
  <c r="E9" i="3"/>
  <c r="F9" i="3"/>
  <c r="G9" i="3"/>
  <c r="H9" i="3"/>
  <c r="I9" i="3"/>
  <c r="J9" i="3"/>
  <c r="K9" i="3"/>
  <c r="L9" i="3"/>
  <c r="M9" i="3"/>
  <c r="N9" i="3"/>
  <c r="O9" i="3"/>
  <c r="B10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C16" i="3"/>
  <c r="C2" i="2" s="1"/>
  <c r="A9" i="3"/>
  <c r="A5" i="3"/>
  <c r="A7" i="3"/>
  <c r="T3" i="3"/>
  <c r="T16" i="3"/>
  <c r="T2" i="2"/>
  <c r="X15" i="3"/>
  <c r="X1" i="2" s="1"/>
  <c r="U3" i="3"/>
  <c r="U16" i="3" s="1"/>
  <c r="U2" i="2" s="1"/>
  <c r="P2" i="3" l="1"/>
  <c r="P15" i="3" s="1"/>
  <c r="P1" i="2" s="1"/>
  <c r="Q2" i="3"/>
  <c r="Q15" i="3" s="1"/>
  <c r="Q1" i="2" s="1"/>
  <c r="H17" i="3"/>
  <c r="H3" i="2" s="1"/>
  <c r="U23" i="3"/>
  <c r="U9" i="2" s="1"/>
  <c r="D21" i="3"/>
  <c r="D7" i="2" s="1"/>
  <c r="M19" i="3"/>
  <c r="M5" i="2" s="1"/>
  <c r="Y21" i="3"/>
  <c r="Y7" i="2" s="1"/>
  <c r="Y19" i="3"/>
  <c r="Y5" i="2" s="1"/>
  <c r="T23" i="3"/>
  <c r="T9" i="2" s="1"/>
  <c r="G23" i="3"/>
  <c r="G9" i="2" s="1"/>
  <c r="T20" i="3"/>
  <c r="T6" i="2" s="1"/>
  <c r="J19" i="3"/>
  <c r="J5" i="2" s="1"/>
  <c r="W22" i="3"/>
  <c r="W8" i="2" s="1"/>
  <c r="F19" i="3"/>
  <c r="F5" i="2" s="1"/>
  <c r="E19" i="3"/>
  <c r="E5" i="2" s="1"/>
  <c r="X20" i="3"/>
  <c r="X6" i="2" s="1"/>
  <c r="S20" i="3"/>
  <c r="S6" i="2" s="1"/>
  <c r="L19" i="3"/>
  <c r="L5" i="2" s="1"/>
  <c r="Z18" i="3"/>
  <c r="Z4" i="2" s="1"/>
  <c r="A20" i="3"/>
  <c r="A6" i="2" s="1"/>
  <c r="W20" i="3"/>
  <c r="W6" i="2" s="1"/>
  <c r="L23" i="3"/>
  <c r="L9" i="2" s="1"/>
  <c r="X19" i="3"/>
  <c r="X5" i="2" s="1"/>
  <c r="G20" i="3"/>
  <c r="G6" i="2" s="1"/>
  <c r="M20" i="3"/>
  <c r="M6" i="2" s="1"/>
  <c r="V19" i="3"/>
  <c r="V5" i="2" s="1"/>
  <c r="O21" i="3"/>
  <c r="O7" i="2" s="1"/>
  <c r="U18" i="3"/>
  <c r="U4" i="2" s="1"/>
  <c r="C22" i="3"/>
  <c r="C8" i="2" s="1"/>
  <c r="H18" i="3"/>
  <c r="H4" i="2" s="1"/>
  <c r="G17" i="3"/>
  <c r="G3" i="2" s="1"/>
  <c r="L21" i="3"/>
  <c r="L7" i="2" s="1"/>
  <c r="B17" i="3"/>
  <c r="B3" i="2" s="1"/>
  <c r="Q21" i="3"/>
  <c r="Q7" i="2" s="1"/>
  <c r="D23" i="3"/>
  <c r="D9" i="2" s="1"/>
  <c r="E17" i="3"/>
  <c r="E3" i="2" s="1"/>
  <c r="K21" i="3"/>
  <c r="K7" i="2" s="1"/>
  <c r="N17" i="3"/>
  <c r="N3" i="2" s="1"/>
  <c r="Q18" i="3"/>
  <c r="Q4" i="2" s="1"/>
  <c r="Y20" i="3"/>
  <c r="Y6" i="2" s="1"/>
  <c r="B23" i="3"/>
  <c r="B9" i="2" s="1"/>
  <c r="I17" i="3"/>
  <c r="I3" i="2" s="1"/>
  <c r="I21" i="3"/>
  <c r="I7" i="2" s="1"/>
  <c r="H20" i="3"/>
  <c r="H6" i="2" s="1"/>
  <c r="T17" i="3"/>
  <c r="T3" i="2" s="1"/>
  <c r="S21" i="3"/>
  <c r="S7" i="2" s="1"/>
  <c r="L22" i="3"/>
  <c r="L8" i="2" s="1"/>
  <c r="E21" i="3"/>
  <c r="E7" i="2" s="1"/>
  <c r="Z19" i="3"/>
  <c r="Z5" i="2" s="1"/>
  <c r="L17" i="3"/>
  <c r="L3" i="2" s="1"/>
  <c r="K20" i="3"/>
  <c r="K6" i="2" s="1"/>
  <c r="B20" i="3"/>
  <c r="B6" i="2" s="1"/>
  <c r="G18" i="3"/>
  <c r="G4" i="2" s="1"/>
  <c r="U17" i="3"/>
  <c r="U3" i="2" s="1"/>
  <c r="U20" i="3"/>
  <c r="U6" i="2" s="1"/>
  <c r="K18" i="3"/>
  <c r="K4" i="2" s="1"/>
  <c r="J20" i="3"/>
  <c r="J6" i="2" s="1"/>
  <c r="Y22" i="3"/>
  <c r="Y8" i="2" s="1"/>
  <c r="A18" i="3"/>
  <c r="A4" i="2" s="1"/>
  <c r="N21" i="3"/>
  <c r="N7" i="2" s="1"/>
  <c r="W21" i="3"/>
  <c r="W7" i="2" s="1"/>
  <c r="A17" i="3"/>
  <c r="M22" i="3"/>
  <c r="M8" i="2" s="1"/>
  <c r="P17" i="3"/>
  <c r="P3" i="2" s="1"/>
  <c r="U19" i="3"/>
  <c r="U5" i="2" s="1"/>
  <c r="K19" i="3"/>
  <c r="K5" i="2" s="1"/>
  <c r="D17" i="3"/>
  <c r="D3" i="2" s="1"/>
  <c r="R19" i="3"/>
  <c r="R5" i="2" s="1"/>
  <c r="D18" i="3"/>
  <c r="D4" i="2" s="1"/>
  <c r="P19" i="3"/>
  <c r="P5" i="2" s="1"/>
  <c r="N22" i="3"/>
  <c r="N8" i="2" s="1"/>
  <c r="H21" i="3"/>
  <c r="H7" i="2" s="1"/>
  <c r="K17" i="3"/>
  <c r="K3" i="2" s="1"/>
  <c r="I22" i="3"/>
  <c r="I8" i="2" s="1"/>
  <c r="U22" i="3"/>
  <c r="U8" i="2" s="1"/>
  <c r="X17" i="3"/>
  <c r="X3" i="2" s="1"/>
  <c r="L18" i="3"/>
  <c r="L4" i="2" s="1"/>
  <c r="I18" i="3"/>
  <c r="I4" i="2" s="1"/>
  <c r="R17" i="3"/>
  <c r="R3" i="2" s="1"/>
  <c r="F18" i="3"/>
  <c r="F4" i="2" s="1"/>
  <c r="J21" i="3"/>
  <c r="J7" i="2" s="1"/>
  <c r="O22" i="3"/>
  <c r="O8" i="2" s="1"/>
  <c r="I20" i="3"/>
  <c r="I6" i="2" s="1"/>
  <c r="Y23" i="3"/>
  <c r="Y9" i="2" s="1"/>
  <c r="S23" i="3"/>
  <c r="S9" i="2" s="1"/>
  <c r="C17" i="3"/>
  <c r="C3" i="2" s="1"/>
  <c r="I23" i="3"/>
  <c r="I9" i="2" s="1"/>
  <c r="O19" i="3"/>
  <c r="O5" i="2" s="1"/>
  <c r="N18" i="3"/>
  <c r="N4" i="2" s="1"/>
  <c r="M23" i="3"/>
  <c r="M9" i="2" s="1"/>
  <c r="O20" i="3"/>
  <c r="O6" i="2" s="1"/>
  <c r="B21" i="3"/>
  <c r="B7" i="2" s="1"/>
  <c r="H19" i="3"/>
  <c r="H5" i="2" s="1"/>
  <c r="E18" i="3"/>
  <c r="E4" i="2" s="1"/>
  <c r="E22" i="3"/>
  <c r="E8" i="2" s="1"/>
  <c r="A1" i="2"/>
  <c r="X21" i="3"/>
  <c r="X7" i="2" s="1"/>
  <c r="B18" i="3"/>
  <c r="B4" i="2" s="1"/>
  <c r="G22" i="3"/>
  <c r="G8" i="2" s="1"/>
  <c r="X18" i="3"/>
  <c r="X4" i="2" s="1"/>
  <c r="V17" i="3"/>
  <c r="V3" i="2" s="1"/>
  <c r="G19" i="3"/>
  <c r="G5" i="2" s="1"/>
  <c r="Q17" i="3"/>
  <c r="Q3" i="2" s="1"/>
  <c r="S19" i="3"/>
  <c r="S5" i="2" s="1"/>
  <c r="E23" i="3"/>
  <c r="E9" i="2" s="1"/>
  <c r="W23" i="3"/>
  <c r="W9" i="2" s="1"/>
  <c r="A22" i="3"/>
  <c r="A8" i="2" s="1"/>
  <c r="Q22" i="3"/>
  <c r="Q8" i="2" s="1"/>
  <c r="V23" i="3"/>
  <c r="V9" i="2" s="1"/>
  <c r="V22" i="3"/>
  <c r="V8" i="2" s="1"/>
  <c r="K23" i="3"/>
  <c r="K9" i="2" s="1"/>
  <c r="M17" i="3"/>
  <c r="M3" i="2" s="1"/>
  <c r="U21" i="3"/>
  <c r="U7" i="2" s="1"/>
  <c r="Q20" i="3"/>
  <c r="Q6" i="2" s="1"/>
  <c r="X22" i="3"/>
  <c r="X8" i="2" s="1"/>
  <c r="R18" i="3"/>
  <c r="R4" i="2" s="1"/>
  <c r="V18" i="3"/>
  <c r="V4" i="2" s="1"/>
  <c r="B22" i="3"/>
  <c r="B8" i="2" s="1"/>
  <c r="P20" i="3"/>
  <c r="P6" i="2" s="1"/>
  <c r="S18" i="3"/>
  <c r="S4" i="2" s="1"/>
  <c r="B19" i="3"/>
  <c r="B5" i="2" s="1"/>
  <c r="Q23" i="3"/>
  <c r="Q9" i="2" s="1"/>
  <c r="X23" i="3"/>
  <c r="X9" i="2" s="1"/>
  <c r="F17" i="3"/>
  <c r="F3" i="2" s="1"/>
  <c r="H23" i="3"/>
  <c r="H9" i="2" s="1"/>
  <c r="T19" i="3"/>
  <c r="T5" i="2" s="1"/>
  <c r="W17" i="3"/>
  <c r="W3" i="2" s="1"/>
  <c r="V21" i="3"/>
  <c r="V7" i="2" s="1"/>
  <c r="O23" i="3"/>
  <c r="O9" i="2" s="1"/>
  <c r="M18" i="3"/>
  <c r="M4" i="2" s="1"/>
  <c r="Z22" i="3"/>
  <c r="Z8" i="2" s="1"/>
  <c r="P21" i="3"/>
  <c r="P7" i="2" s="1"/>
  <c r="D19" i="3"/>
  <c r="D5" i="2" s="1"/>
  <c r="Z20" i="3"/>
  <c r="Z6" i="2" s="1"/>
  <c r="F23" i="3"/>
  <c r="F9" i="2" s="1"/>
  <c r="F21" i="3"/>
  <c r="F7" i="2" s="1"/>
  <c r="Z17" i="3"/>
  <c r="Z3" i="2" s="1"/>
  <c r="S22" i="3"/>
  <c r="S8" i="2" s="1"/>
  <c r="A23" i="3"/>
  <c r="A9" i="2" s="1"/>
  <c r="G21" i="3"/>
  <c r="G7" i="2" s="1"/>
  <c r="R22" i="3"/>
  <c r="R8" i="2" s="1"/>
  <c r="C20" i="3"/>
  <c r="C6" i="2" s="1"/>
  <c r="J18" i="3"/>
  <c r="J4" i="2" s="1"/>
  <c r="I19" i="3"/>
  <c r="I5" i="2" s="1"/>
  <c r="T22" i="3"/>
  <c r="T8" i="2" s="1"/>
  <c r="C18" i="3"/>
  <c r="C4" i="2" s="1"/>
  <c r="R23" i="3"/>
  <c r="R9" i="2" s="1"/>
  <c r="K22" i="3"/>
  <c r="K8" i="2" s="1"/>
  <c r="N23" i="3"/>
  <c r="N9" i="2" s="1"/>
  <c r="C23" i="3"/>
  <c r="C9" i="2" s="1"/>
  <c r="P23" i="3"/>
  <c r="P9" i="2" s="1"/>
  <c r="Z23" i="3"/>
  <c r="Z9" i="2" s="1"/>
  <c r="J22" i="3"/>
  <c r="J8" i="2" s="1"/>
  <c r="A21" i="3"/>
  <c r="A7" i="2" s="1"/>
  <c r="Y18" i="3"/>
  <c r="Y4" i="2" s="1"/>
  <c r="V20" i="3"/>
  <c r="V6" i="2" s="1"/>
  <c r="P22" i="3"/>
  <c r="P8" i="2" s="1"/>
  <c r="A19" i="3"/>
  <c r="A5" i="2" s="1"/>
  <c r="J23" i="3"/>
  <c r="J9" i="2" s="1"/>
  <c r="L20" i="3"/>
  <c r="L6" i="2" s="1"/>
  <c r="R21" i="3"/>
  <c r="R7" i="2" s="1"/>
  <c r="N20" i="3"/>
  <c r="N6" i="2" s="1"/>
  <c r="O17" i="3"/>
  <c r="O3" i="2" s="1"/>
  <c r="Y17" i="3"/>
  <c r="Y3" i="2" s="1"/>
  <c r="W19" i="3"/>
  <c r="W5" i="2" s="1"/>
  <c r="N19" i="3"/>
  <c r="N5" i="2" s="1"/>
  <c r="D22" i="3"/>
  <c r="D8" i="2" s="1"/>
  <c r="C21" i="3"/>
  <c r="C7" i="2" s="1"/>
  <c r="J17" i="3"/>
  <c r="J3" i="2" s="1"/>
  <c r="H22" i="3"/>
  <c r="H8" i="2" s="1"/>
  <c r="Q19" i="3"/>
  <c r="Q5" i="2" s="1"/>
  <c r="O18" i="3"/>
  <c r="O4" i="2" s="1"/>
  <c r="E20" i="3"/>
  <c r="E6" i="2" s="1"/>
  <c r="M21" i="3"/>
  <c r="M7" i="2" s="1"/>
  <c r="P18" i="3"/>
  <c r="P4" i="2" s="1"/>
  <c r="F20" i="3"/>
  <c r="F6" i="2" s="1"/>
  <c r="C19" i="3"/>
  <c r="C5" i="2" s="1"/>
  <c r="W18" i="3"/>
  <c r="W4" i="2" s="1"/>
  <c r="F22" i="3"/>
  <c r="F8" i="2" s="1"/>
  <c r="D20" i="3"/>
  <c r="D6" i="2" s="1"/>
  <c r="S17" i="3"/>
  <c r="S3" i="2" s="1"/>
  <c r="Z21" i="3"/>
  <c r="Z7" i="2" s="1"/>
  <c r="R20" i="3"/>
  <c r="R6" i="2" s="1"/>
  <c r="T18" i="3"/>
  <c r="T4" i="2" s="1"/>
  <c r="T21" i="3"/>
  <c r="T7" i="2" s="1"/>
  <c r="C15" i="3"/>
  <c r="C1" i="2" s="1"/>
  <c r="O2" i="3" l="1"/>
  <c r="O15" i="3" s="1"/>
  <c r="O1" i="2" s="1"/>
  <c r="A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Paulo Marinho</author>
  </authors>
  <commentList>
    <comment ref="O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1ª linha 
Comprimento total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1 Linha
esp. Laje esq.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1" authorId="0" shapeId="0" xr:uid="{00000000-0006-0000-0200-000003000000}">
      <text>
        <r>
          <rPr>
            <sz val="9"/>
            <color indexed="81"/>
            <rFont val="Tahoma"/>
            <family val="2"/>
          </rPr>
          <t xml:space="preserve">1 Linha
Esp. Laje dir
</t>
        </r>
      </text>
    </comment>
    <comment ref="R1" authorId="0" shapeId="0" xr:uid="{00000000-0006-0000-0200-000004000000}">
      <text>
        <r>
          <rPr>
            <sz val="9"/>
            <color indexed="81"/>
            <rFont val="Tahoma"/>
            <family val="2"/>
          </rPr>
          <t>1 linha
tipo de secção</t>
        </r>
      </text>
    </comment>
    <comment ref="S1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1 linha
Nome da viga</t>
        </r>
      </text>
    </comment>
  </commentList>
</comments>
</file>

<file path=xl/sharedStrings.xml><?xml version="1.0" encoding="utf-8"?>
<sst xmlns="http://schemas.openxmlformats.org/spreadsheetml/2006/main" count="165" uniqueCount="72">
  <si>
    <t>L=</t>
  </si>
  <si>
    <t>ai</t>
  </si>
  <si>
    <t>H</t>
  </si>
  <si>
    <t>dH</t>
  </si>
  <si>
    <t>dL</t>
  </si>
  <si>
    <t>as</t>
  </si>
  <si>
    <t>ee</t>
  </si>
  <si>
    <t>ss</t>
  </si>
  <si>
    <t>eee</t>
  </si>
  <si>
    <t>sse</t>
  </si>
  <si>
    <t>eed</t>
  </si>
  <si>
    <t>ssd</t>
  </si>
  <si>
    <t>dxe</t>
  </si>
  <si>
    <t>dxd</t>
  </si>
  <si>
    <t>rve</t>
  </si>
  <si>
    <t>rvd</t>
  </si>
  <si>
    <t>m</t>
  </si>
  <si>
    <t>f</t>
  </si>
  <si>
    <t xml:space="preserve"> </t>
  </si>
  <si>
    <r>
      <t xml:space="preserve">L </t>
    </r>
    <r>
      <rPr>
        <vertAlign val="subscript"/>
        <sz val="10"/>
        <rFont val="Arial"/>
        <family val="2"/>
      </rPr>
      <t>1</t>
    </r>
  </si>
  <si>
    <r>
      <t xml:space="preserve">L </t>
    </r>
    <r>
      <rPr>
        <vertAlign val="subscript"/>
        <sz val="10"/>
        <rFont val="Arial"/>
        <family val="2"/>
      </rPr>
      <t>2</t>
    </r>
  </si>
  <si>
    <r>
      <t xml:space="preserve">L </t>
    </r>
    <r>
      <rPr>
        <vertAlign val="subscript"/>
        <sz val="10"/>
        <rFont val="Arial"/>
        <family val="2"/>
      </rPr>
      <t>3</t>
    </r>
  </si>
  <si>
    <r>
      <t xml:space="preserve">L </t>
    </r>
    <r>
      <rPr>
        <vertAlign val="subscript"/>
        <sz val="10"/>
        <rFont val="Arial"/>
        <family val="2"/>
      </rPr>
      <t>4</t>
    </r>
  </si>
  <si>
    <r>
      <t xml:space="preserve">L </t>
    </r>
    <r>
      <rPr>
        <vertAlign val="subscript"/>
        <sz val="10"/>
        <rFont val="Arial"/>
        <family val="2"/>
      </rPr>
      <t>5</t>
    </r>
  </si>
  <si>
    <r>
      <t xml:space="preserve">L </t>
    </r>
    <r>
      <rPr>
        <vertAlign val="subscript"/>
        <sz val="10"/>
        <rFont val="Arial"/>
        <family val="2"/>
      </rPr>
      <t>6</t>
    </r>
  </si>
  <si>
    <r>
      <t xml:space="preserve">L </t>
    </r>
    <r>
      <rPr>
        <vertAlign val="subscript"/>
        <sz val="10"/>
        <rFont val="Arial"/>
        <family val="2"/>
      </rPr>
      <t>7</t>
    </r>
  </si>
  <si>
    <r>
      <t>L</t>
    </r>
    <r>
      <rPr>
        <vertAlign val="subscript"/>
        <sz val="10"/>
        <rFont val="Arial"/>
        <family val="2"/>
      </rPr>
      <t xml:space="preserve"> 8</t>
    </r>
  </si>
  <si>
    <t>+</t>
  </si>
  <si>
    <t xml:space="preserve"> f</t>
  </si>
  <si>
    <t>nv1 inf</t>
  </si>
  <si>
    <t>v1 inf</t>
  </si>
  <si>
    <t>nv2 inf</t>
  </si>
  <si>
    <t>nc</t>
  </si>
  <si>
    <t>vc</t>
  </si>
  <si>
    <t>nr</t>
  </si>
  <si>
    <t>vr</t>
  </si>
  <si>
    <t>B</t>
  </si>
  <si>
    <t>x</t>
  </si>
  <si>
    <r>
      <t>m</t>
    </r>
    <r>
      <rPr>
        <vertAlign val="superscript"/>
        <sz val="10"/>
        <rFont val="Arial"/>
        <family val="2"/>
      </rPr>
      <t>2</t>
    </r>
  </si>
  <si>
    <t>"x"</t>
  </si>
  <si>
    <t>secção</t>
  </si>
  <si>
    <t>nome sec</t>
  </si>
  <si>
    <t>Laje s/Laje</t>
  </si>
  <si>
    <t>BEAM B</t>
  </si>
  <si>
    <t>Number of Spans</t>
  </si>
  <si>
    <t>SPAN 1</t>
  </si>
  <si>
    <t>SPAN 2</t>
  </si>
  <si>
    <t>SPAN 3</t>
  </si>
  <si>
    <t>SPAN 4</t>
  </si>
  <si>
    <t>SPAN 5</t>
  </si>
  <si>
    <t>SPAN 6</t>
  </si>
  <si>
    <t>SPAN 7</t>
  </si>
  <si>
    <t>SPAN 8</t>
  </si>
  <si>
    <t>Spans</t>
  </si>
  <si>
    <t>Without slab - Slab</t>
  </si>
  <si>
    <t>Slab - Without slab</t>
  </si>
  <si>
    <t xml:space="preserve">Without slab - Without slab </t>
  </si>
  <si>
    <t>Slab - Slab</t>
  </si>
  <si>
    <t>Axis</t>
  </si>
  <si>
    <t>Spans /  Bottom reinf.</t>
  </si>
  <si>
    <t>As 1</t>
  </si>
  <si>
    <t>As 2</t>
  </si>
  <si>
    <t>Spans / Top reinf.</t>
  </si>
  <si>
    <t>As1</t>
  </si>
  <si>
    <t>As2</t>
  </si>
  <si>
    <t>Section</t>
  </si>
  <si>
    <t>Label</t>
  </si>
  <si>
    <t xml:space="preserve">Section type </t>
  </si>
  <si>
    <t>Inverted Slab Slab</t>
  </si>
  <si>
    <t>Inverted  Without slab - Slab</t>
  </si>
  <si>
    <t>Inverted Slab - Without slab</t>
  </si>
  <si>
    <t>C:\Dados\world lisp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</si>
</sst>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* #,##0.00\ _E_s_c_._-;\-* #,##0.00\ _E_s_c_._-;_-* &quot;-&quot;??\ _E_s_c_._-;_-@_-"/>
    <numFmt numFmtId="165" formatCode="0.0"/>
    <numFmt numFmtId="166" formatCode="\f\ \ #"/>
    <numFmt numFmtId="167" formatCode="&quot;a&quot;\ 0.000"/>
    <numFmt numFmtId="168" formatCode="&quot;//&quot;\ 0.000"/>
    <numFmt numFmtId="169" formatCode="\f\ 0"/>
  </numFmts>
  <fonts count="21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6"/>
      <name val="Arial"/>
      <family val="2"/>
    </font>
    <font>
      <b/>
      <sz val="10"/>
      <name val="Arial"/>
      <family val="2"/>
    </font>
    <font>
      <sz val="10"/>
      <color indexed="22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vertAlign val="subscript"/>
      <sz val="10"/>
      <name val="Arial"/>
      <family val="2"/>
    </font>
    <font>
      <sz val="12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i/>
      <sz val="12"/>
      <name val="Arial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theme="0" tint="-4.9989318521683403E-2"/>
      <name val="Arial"/>
      <family val="2"/>
    </font>
    <font>
      <sz val="10"/>
      <color theme="0" tint="-4.9989318521683403E-2"/>
      <name val="Arial"/>
      <family val="2"/>
    </font>
    <font>
      <sz val="8"/>
      <color theme="0" tint="-4.9989318521683403E-2"/>
      <name val="Arial"/>
      <family val="2"/>
    </font>
    <font>
      <sz val="10"/>
      <color theme="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8" tint="0.59999389629810485"/>
        <bgColor indexed="64"/>
      </patternFill>
    </fill>
  </fills>
  <borders count="53">
    <border>
      <left/>
      <right/>
      <top/>
      <bottom/>
      <diagonal/>
    </border>
    <border>
      <left/>
      <right/>
      <top style="dotted">
        <color indexed="64"/>
      </top>
      <bottom/>
      <diagonal/>
    </border>
    <border>
      <left style="dashDot">
        <color indexed="64"/>
      </left>
      <right/>
      <top/>
      <bottom/>
      <diagonal/>
    </border>
    <border>
      <left/>
      <right style="dashDot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dashDot">
        <color indexed="64"/>
      </right>
      <top/>
      <bottom style="thin">
        <color indexed="64"/>
      </bottom>
      <diagonal/>
    </border>
    <border>
      <left style="dashDot">
        <color indexed="64"/>
      </left>
      <right/>
      <top/>
      <bottom style="thin">
        <color indexed="64"/>
      </bottom>
      <diagonal/>
    </border>
    <border>
      <left style="dashDot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ck">
        <color rgb="FFC00000"/>
      </left>
      <right/>
      <top style="thick">
        <color rgb="FFC00000"/>
      </top>
      <bottom/>
      <diagonal/>
    </border>
    <border>
      <left style="dashDot">
        <color indexed="64"/>
      </left>
      <right/>
      <top style="thick">
        <color rgb="FFC00000"/>
      </top>
      <bottom/>
      <diagonal/>
    </border>
    <border>
      <left/>
      <right/>
      <top style="thick">
        <color rgb="FFC00000"/>
      </top>
      <bottom/>
      <diagonal/>
    </border>
    <border>
      <left style="thick">
        <color rgb="FFC00000"/>
      </left>
      <right/>
      <top/>
      <bottom/>
      <diagonal/>
    </border>
    <border>
      <left style="thick">
        <color rgb="FFC00000"/>
      </left>
      <right/>
      <top/>
      <bottom style="thick">
        <color rgb="FFC00000"/>
      </bottom>
      <diagonal/>
    </border>
    <border>
      <left/>
      <right/>
      <top/>
      <bottom style="thick">
        <color rgb="FFC00000"/>
      </bottom>
      <diagonal/>
    </border>
    <border>
      <left/>
      <right/>
      <top style="thin">
        <color theme="0" tint="-0.499984740745262"/>
      </top>
      <bottom style="thick">
        <color rgb="FFC00000"/>
      </bottom>
      <diagonal/>
    </border>
    <border>
      <left/>
      <right/>
      <top style="thick">
        <color rgb="FFC00000"/>
      </top>
      <bottom style="thin">
        <color theme="0" tint="-0.499984740745262"/>
      </bottom>
      <diagonal/>
    </border>
    <border>
      <left style="dashDot">
        <color indexed="64"/>
      </left>
      <right style="thick">
        <color rgb="FFC00000"/>
      </right>
      <top style="thick">
        <color rgb="FFC00000"/>
      </top>
      <bottom/>
      <diagonal/>
    </border>
    <border>
      <left style="dashDot">
        <color indexed="64"/>
      </left>
      <right style="thick">
        <color rgb="FFC00000"/>
      </right>
      <top/>
      <bottom/>
      <diagonal/>
    </border>
    <border>
      <left style="dashDot">
        <color indexed="64"/>
      </left>
      <right/>
      <top/>
      <bottom style="thick">
        <color rgb="FFC00000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ck">
        <color rgb="FFC00000"/>
      </left>
      <right style="dashDot">
        <color indexed="64"/>
      </right>
      <top/>
      <bottom/>
      <diagonal/>
    </border>
    <border>
      <left style="thick">
        <color rgb="FFC00000"/>
      </left>
      <right style="dashDot">
        <color indexed="64"/>
      </right>
      <top/>
      <bottom style="thick">
        <color rgb="FFC00000"/>
      </bottom>
      <diagonal/>
    </border>
    <border>
      <left style="dashDot">
        <color indexed="64"/>
      </left>
      <right style="thick">
        <color rgb="FFC00000"/>
      </right>
      <top/>
      <bottom style="thick">
        <color rgb="FFC00000"/>
      </bottom>
      <diagonal/>
    </border>
    <border>
      <left style="thick">
        <color rgb="FFC00000"/>
      </left>
      <right style="dashDot">
        <color indexed="64"/>
      </right>
      <top style="thick">
        <color rgb="FFC00000"/>
      </top>
      <bottom/>
      <diagonal/>
    </border>
    <border>
      <left/>
      <right style="dashDot">
        <color indexed="64"/>
      </right>
      <top style="thick">
        <color rgb="FFC00000"/>
      </top>
      <bottom/>
      <diagonal/>
    </border>
    <border>
      <left/>
      <right style="thick">
        <color rgb="FFC00000"/>
      </right>
      <top style="thick">
        <color rgb="FFC00000"/>
      </top>
      <bottom/>
      <diagonal/>
    </border>
    <border>
      <left/>
      <right style="thick">
        <color rgb="FFC00000"/>
      </right>
      <top/>
      <bottom/>
      <diagonal/>
    </border>
    <border>
      <left/>
      <right style="thick">
        <color rgb="FFC00000"/>
      </right>
      <top/>
      <bottom style="thick">
        <color rgb="FFC00000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hair">
        <color indexed="64"/>
      </right>
      <top/>
      <bottom style="thick">
        <color rgb="FFC00000"/>
      </bottom>
      <diagonal/>
    </border>
    <border>
      <left/>
      <right style="hair">
        <color indexed="64"/>
      </right>
      <top style="thick">
        <color rgb="FFC00000"/>
      </top>
      <bottom style="thin">
        <color theme="0" tint="-0.499984740745262"/>
      </bottom>
      <diagonal/>
    </border>
    <border>
      <left style="hair">
        <color indexed="64"/>
      </left>
      <right style="thick">
        <color rgb="FFC00000"/>
      </right>
      <top/>
      <bottom/>
      <diagonal/>
    </border>
    <border>
      <left style="hair">
        <color indexed="64"/>
      </left>
      <right style="thick">
        <color rgb="FFC00000"/>
      </right>
      <top/>
      <bottom style="thick">
        <color rgb="FFC00000"/>
      </bottom>
      <diagonal/>
    </border>
    <border>
      <left style="hair">
        <color indexed="64"/>
      </left>
      <right/>
      <top style="thick">
        <color rgb="FFC00000"/>
      </top>
      <bottom style="thin">
        <color theme="0" tint="-0.499984740745262"/>
      </bottom>
      <diagonal/>
    </border>
    <border>
      <left style="hair">
        <color indexed="64"/>
      </left>
      <right/>
      <top/>
      <bottom style="thick">
        <color rgb="FFC00000"/>
      </bottom>
      <diagonal/>
    </border>
    <border>
      <left style="hair">
        <color indexed="64"/>
      </left>
      <right/>
      <top/>
      <bottom style="thin">
        <color theme="0" tint="-0.499984740745262"/>
      </bottom>
      <diagonal/>
    </border>
    <border>
      <left/>
      <right style="hair">
        <color indexed="64"/>
      </right>
      <top/>
      <bottom style="thin">
        <color theme="0" tint="-0.499984740745262"/>
      </bottom>
      <diagonal/>
    </border>
    <border>
      <left/>
      <right style="thick">
        <color theme="9" tint="-0.24994659260841701"/>
      </right>
      <top/>
      <bottom/>
      <diagonal/>
    </border>
    <border>
      <left/>
      <right style="thick">
        <color theme="9" tint="-0.24994659260841701"/>
      </right>
      <top/>
      <bottom style="thick">
        <color theme="9" tint="-0.24994659260841701"/>
      </bottom>
      <diagonal/>
    </border>
    <border>
      <left/>
      <right style="thick">
        <color theme="9" tint="-0.24994659260841701"/>
      </right>
      <top style="thick">
        <color theme="9" tint="-0.24994659260841701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55">
    <xf numFmtId="0" fontId="0" fillId="0" borderId="0" xfId="0"/>
    <xf numFmtId="0" fontId="0" fillId="0" borderId="0" xfId="0" applyProtection="1">
      <protection hidden="1"/>
    </xf>
    <xf numFmtId="0" fontId="0" fillId="0" borderId="1" xfId="0" applyBorder="1" applyProtection="1">
      <protection hidden="1"/>
    </xf>
    <xf numFmtId="0" fontId="0" fillId="0" borderId="2" xfId="0" applyBorder="1" applyProtection="1">
      <protection hidden="1"/>
    </xf>
    <xf numFmtId="0" fontId="0" fillId="0" borderId="3" xfId="0" applyBorder="1" applyProtection="1">
      <protection hidden="1"/>
    </xf>
    <xf numFmtId="0" fontId="0" fillId="0" borderId="4" xfId="0" applyFill="1" applyBorder="1" applyProtection="1">
      <protection hidden="1"/>
    </xf>
    <xf numFmtId="0" fontId="0" fillId="0" borderId="5" xfId="0" applyBorder="1" applyProtection="1">
      <protection hidden="1"/>
    </xf>
    <xf numFmtId="0" fontId="0" fillId="0" borderId="6" xfId="0" applyBorder="1" applyProtection="1">
      <protection hidden="1"/>
    </xf>
    <xf numFmtId="0" fontId="0" fillId="0" borderId="4" xfId="0" applyBorder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Protection="1">
      <protection hidden="1"/>
    </xf>
    <xf numFmtId="0" fontId="0" fillId="0" borderId="7" xfId="0" applyBorder="1" applyProtection="1">
      <protection hidden="1"/>
    </xf>
    <xf numFmtId="0" fontId="3" fillId="0" borderId="0" xfId="0" applyFont="1" applyProtection="1">
      <protection hidden="1"/>
    </xf>
    <xf numFmtId="0" fontId="0" fillId="0" borderId="0" xfId="0" applyProtection="1">
      <protection locked="0"/>
    </xf>
    <xf numFmtId="0" fontId="0" fillId="0" borderId="2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2" fontId="0" fillId="0" borderId="0" xfId="0" applyNumberFormat="1" applyAlignment="1" applyProtection="1">
      <alignment horizontal="center"/>
      <protection locked="0"/>
    </xf>
    <xf numFmtId="0" fontId="0" fillId="0" borderId="0" xfId="0" applyBorder="1" applyAlignment="1" applyProtection="1">
      <alignment horizontal="right"/>
      <protection locked="0"/>
    </xf>
    <xf numFmtId="2" fontId="0" fillId="0" borderId="0" xfId="0" applyNumberFormat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2" fontId="0" fillId="0" borderId="0" xfId="0" applyNumberFormat="1" applyBorder="1" applyAlignment="1" applyProtection="1">
      <alignment horizontal="left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vertical="distributed"/>
      <protection hidden="1"/>
    </xf>
    <xf numFmtId="0" fontId="0" fillId="0" borderId="0" xfId="0" applyFill="1" applyBorder="1" applyProtection="1">
      <protection hidden="1"/>
    </xf>
    <xf numFmtId="0" fontId="0" fillId="0" borderId="0" xfId="0" applyAlignment="1" applyProtection="1">
      <alignment horizontal="center"/>
      <protection locked="0"/>
    </xf>
    <xf numFmtId="0" fontId="6" fillId="0" borderId="0" xfId="0" applyFont="1" applyBorder="1" applyAlignment="1" applyProtection="1">
      <alignment horizontal="center" vertical="distributed"/>
      <protection hidden="1"/>
    </xf>
    <xf numFmtId="0" fontId="9" fillId="0" borderId="0" xfId="0" applyFont="1" applyProtection="1">
      <protection hidden="1"/>
    </xf>
    <xf numFmtId="0" fontId="0" fillId="0" borderId="0" xfId="0" applyBorder="1" applyAlignment="1" applyProtection="1">
      <alignment vertical="distributed"/>
      <protection locked="0"/>
    </xf>
    <xf numFmtId="0" fontId="0" fillId="0" borderId="0" xfId="0" applyBorder="1" applyAlignment="1" applyProtection="1">
      <alignment horizontal="left" vertical="distributed"/>
      <protection locked="0"/>
    </xf>
    <xf numFmtId="0" fontId="0" fillId="0" borderId="0" xfId="0" applyAlignment="1" applyProtection="1">
      <alignment vertical="distributed"/>
      <protection locked="0"/>
    </xf>
    <xf numFmtId="0" fontId="0" fillId="0" borderId="0" xfId="0" applyBorder="1" applyAlignment="1" applyProtection="1">
      <alignment horizontal="center"/>
      <protection locked="0"/>
    </xf>
    <xf numFmtId="0" fontId="7" fillId="0" borderId="0" xfId="0" applyFont="1" applyProtection="1">
      <protection hidden="1"/>
    </xf>
    <xf numFmtId="2" fontId="0" fillId="0" borderId="0" xfId="0" applyNumberFormat="1" applyBorder="1" applyAlignment="1" applyProtection="1">
      <alignment horizontal="center" vertical="distributed"/>
      <protection locked="0"/>
    </xf>
    <xf numFmtId="0" fontId="0" fillId="3" borderId="10" xfId="0" applyFill="1" applyBorder="1" applyProtection="1">
      <protection hidden="1"/>
    </xf>
    <xf numFmtId="0" fontId="0" fillId="3" borderId="0" xfId="0" applyFill="1" applyBorder="1" applyProtection="1">
      <protection hidden="1"/>
    </xf>
    <xf numFmtId="0" fontId="0" fillId="3" borderId="2" xfId="0" applyFill="1" applyBorder="1" applyProtection="1">
      <protection hidden="1"/>
    </xf>
    <xf numFmtId="0" fontId="0" fillId="3" borderId="11" xfId="0" applyFill="1" applyBorder="1" applyProtection="1">
      <protection hidden="1"/>
    </xf>
    <xf numFmtId="0" fontId="0" fillId="3" borderId="10" xfId="0" applyFill="1" applyBorder="1" applyProtection="1">
      <protection locked="0"/>
    </xf>
    <xf numFmtId="0" fontId="0" fillId="3" borderId="0" xfId="0" applyFill="1" applyProtection="1">
      <protection locked="0"/>
    </xf>
    <xf numFmtId="0" fontId="0" fillId="3" borderId="2" xfId="0" applyFill="1" applyBorder="1" applyProtection="1">
      <protection locked="0"/>
    </xf>
    <xf numFmtId="0" fontId="0" fillId="3" borderId="11" xfId="0" applyFill="1" applyBorder="1" applyProtection="1">
      <protection locked="0"/>
    </xf>
    <xf numFmtId="0" fontId="0" fillId="3" borderId="0" xfId="0" applyFill="1" applyProtection="1">
      <protection hidden="1"/>
    </xf>
    <xf numFmtId="0" fontId="0" fillId="3" borderId="12" xfId="0" applyFill="1" applyBorder="1" applyProtection="1">
      <protection hidden="1"/>
    </xf>
    <xf numFmtId="0" fontId="0" fillId="3" borderId="13" xfId="0" applyFill="1" applyBorder="1" applyProtection="1">
      <protection hidden="1"/>
    </xf>
    <xf numFmtId="0" fontId="0" fillId="3" borderId="14" xfId="0" applyFill="1" applyBorder="1" applyProtection="1">
      <protection hidden="1"/>
    </xf>
    <xf numFmtId="0" fontId="0" fillId="3" borderId="15" xfId="0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0" fillId="3" borderId="15" xfId="0" applyFill="1" applyBorder="1" applyProtection="1">
      <protection hidden="1"/>
    </xf>
    <xf numFmtId="0" fontId="0" fillId="3" borderId="16" xfId="0" applyFill="1" applyBorder="1" applyProtection="1">
      <protection hidden="1"/>
    </xf>
    <xf numFmtId="0" fontId="0" fillId="3" borderId="17" xfId="0" applyFill="1" applyBorder="1" applyProtection="1">
      <protection hidden="1"/>
    </xf>
    <xf numFmtId="0" fontId="0" fillId="3" borderId="18" xfId="0" applyFill="1" applyBorder="1" applyProtection="1">
      <protection hidden="1"/>
    </xf>
    <xf numFmtId="168" fontId="0" fillId="3" borderId="0" xfId="0" applyNumberFormat="1" applyFill="1" applyBorder="1" applyAlignment="1" applyProtection="1">
      <protection locked="0"/>
    </xf>
    <xf numFmtId="2" fontId="0" fillId="3" borderId="0" xfId="0" applyNumberFormat="1" applyFill="1" applyBorder="1" applyAlignment="1" applyProtection="1">
      <alignment horizontal="center"/>
      <protection locked="0"/>
    </xf>
    <xf numFmtId="0" fontId="0" fillId="3" borderId="19" xfId="0" applyFill="1" applyBorder="1" applyProtection="1">
      <protection hidden="1"/>
    </xf>
    <xf numFmtId="0" fontId="0" fillId="3" borderId="20" xfId="0" applyFill="1" applyBorder="1" applyProtection="1">
      <protection hidden="1"/>
    </xf>
    <xf numFmtId="0" fontId="0" fillId="3" borderId="21" xfId="0" applyFill="1" applyBorder="1" applyProtection="1">
      <protection locked="0"/>
    </xf>
    <xf numFmtId="0" fontId="0" fillId="3" borderId="22" xfId="0" applyFill="1" applyBorder="1" applyProtection="1">
      <protection hidden="1"/>
    </xf>
    <xf numFmtId="168" fontId="0" fillId="3" borderId="0" xfId="0" applyNumberFormat="1" applyFill="1" applyBorder="1" applyAlignment="1" applyProtection="1">
      <alignment horizontal="center"/>
      <protection locked="0"/>
    </xf>
    <xf numFmtId="168" fontId="0" fillId="3" borderId="0" xfId="0" applyNumberFormat="1" applyFill="1" applyBorder="1" applyAlignment="1" applyProtection="1">
      <alignment horizontal="left"/>
      <protection locked="0"/>
    </xf>
    <xf numFmtId="0" fontId="0" fillId="3" borderId="23" xfId="0" applyFill="1" applyBorder="1" applyProtection="1">
      <protection hidden="1"/>
    </xf>
    <xf numFmtId="0" fontId="0" fillId="3" borderId="3" xfId="0" applyFill="1" applyBorder="1" applyProtection="1">
      <protection hidden="1"/>
    </xf>
    <xf numFmtId="0" fontId="0" fillId="3" borderId="3" xfId="0" applyFill="1" applyBorder="1" applyProtection="1">
      <protection locked="0"/>
    </xf>
    <xf numFmtId="0" fontId="0" fillId="0" borderId="3" xfId="0" applyBorder="1" applyProtection="1">
      <protection locked="0"/>
    </xf>
    <xf numFmtId="168" fontId="0" fillId="3" borderId="14" xfId="0" applyNumberFormat="1" applyFill="1" applyBorder="1" applyAlignment="1" applyProtection="1">
      <protection locked="0"/>
    </xf>
    <xf numFmtId="0" fontId="0" fillId="3" borderId="14" xfId="0" applyFill="1" applyBorder="1" applyProtection="1">
      <protection locked="0"/>
    </xf>
    <xf numFmtId="0" fontId="0" fillId="3" borderId="20" xfId="0" applyFill="1" applyBorder="1" applyProtection="1">
      <protection locked="0"/>
    </xf>
    <xf numFmtId="0" fontId="0" fillId="3" borderId="14" xfId="0" applyNumberFormat="1" applyFill="1" applyBorder="1" applyAlignment="1" applyProtection="1">
      <alignment horizontal="left"/>
      <protection locked="0"/>
    </xf>
    <xf numFmtId="0" fontId="0" fillId="3" borderId="14" xfId="0" applyFill="1" applyBorder="1" applyAlignment="1" applyProtection="1">
      <alignment horizontal="left"/>
      <protection locked="0"/>
    </xf>
    <xf numFmtId="0" fontId="0" fillId="3" borderId="13" xfId="0" applyFill="1" applyBorder="1" applyProtection="1">
      <protection locked="0"/>
    </xf>
    <xf numFmtId="0" fontId="0" fillId="3" borderId="24" xfId="0" applyFill="1" applyBorder="1" applyProtection="1">
      <protection locked="0"/>
    </xf>
    <xf numFmtId="0" fontId="0" fillId="3" borderId="25" xfId="0" applyFill="1" applyBorder="1" applyProtection="1">
      <protection locked="0"/>
    </xf>
    <xf numFmtId="0" fontId="0" fillId="3" borderId="26" xfId="0" applyFill="1" applyBorder="1" applyProtection="1">
      <protection hidden="1"/>
    </xf>
    <xf numFmtId="0" fontId="0" fillId="3" borderId="27" xfId="0" applyFill="1" applyBorder="1" applyProtection="1">
      <protection hidden="1"/>
    </xf>
    <xf numFmtId="0" fontId="0" fillId="3" borderId="24" xfId="0" applyFill="1" applyBorder="1" applyProtection="1">
      <protection hidden="1"/>
    </xf>
    <xf numFmtId="0" fontId="0" fillId="3" borderId="28" xfId="0" applyFill="1" applyBorder="1" applyProtection="1">
      <protection locked="0"/>
    </xf>
    <xf numFmtId="0" fontId="0" fillId="3" borderId="29" xfId="0" applyFill="1" applyBorder="1" applyProtection="1">
      <protection locked="0"/>
    </xf>
    <xf numFmtId="0" fontId="0" fillId="3" borderId="30" xfId="0" applyFill="1" applyBorder="1" applyProtection="1">
      <protection locked="0"/>
    </xf>
    <xf numFmtId="0" fontId="0" fillId="3" borderId="31" xfId="0" applyFill="1" applyBorder="1" applyProtection="1">
      <protection locked="0"/>
    </xf>
    <xf numFmtId="0" fontId="0" fillId="3" borderId="31" xfId="0" applyFill="1" applyBorder="1" applyProtection="1">
      <protection hidden="1"/>
    </xf>
    <xf numFmtId="0" fontId="0" fillId="3" borderId="32" xfId="0" applyFill="1" applyBorder="1" applyProtection="1">
      <protection hidden="1"/>
    </xf>
    <xf numFmtId="0" fontId="7" fillId="0" borderId="4" xfId="0" applyFont="1" applyFill="1" applyBorder="1" applyProtection="1">
      <protection hidden="1"/>
    </xf>
    <xf numFmtId="0" fontId="7" fillId="0" borderId="0" xfId="0" applyFont="1" applyProtection="1">
      <protection locked="0"/>
    </xf>
    <xf numFmtId="0" fontId="0" fillId="0" borderId="24" xfId="0" applyBorder="1" applyProtection="1">
      <protection hidden="1"/>
    </xf>
    <xf numFmtId="0" fontId="7" fillId="0" borderId="0" xfId="0" applyFont="1" applyAlignment="1" applyProtection="1">
      <alignment horizontal="center"/>
      <protection locked="0"/>
    </xf>
    <xf numFmtId="0" fontId="12" fillId="0" borderId="0" xfId="0" applyFont="1" applyProtection="1">
      <protection hidden="1"/>
    </xf>
    <xf numFmtId="168" fontId="0" fillId="3" borderId="0" xfId="0" applyNumberFormat="1" applyFill="1" applyBorder="1" applyAlignment="1" applyProtection="1">
      <alignment horizontal="left" vertical="center"/>
      <protection locked="0"/>
    </xf>
    <xf numFmtId="0" fontId="0" fillId="3" borderId="0" xfId="0" applyFill="1" applyBorder="1" applyAlignment="1" applyProtection="1">
      <alignment vertical="center"/>
      <protection locked="0"/>
    </xf>
    <xf numFmtId="0" fontId="7" fillId="0" borderId="0" xfId="0" applyFont="1" applyAlignment="1" applyProtection="1">
      <protection locked="0"/>
    </xf>
    <xf numFmtId="168" fontId="0" fillId="3" borderId="0" xfId="0" applyNumberFormat="1" applyFill="1" applyBorder="1" applyAlignment="1" applyProtection="1">
      <alignment vertical="center"/>
      <protection locked="0"/>
    </xf>
    <xf numFmtId="0" fontId="7" fillId="0" borderId="0" xfId="0" applyFont="1" applyAlignment="1" applyProtection="1">
      <alignment horizontal="right"/>
      <protection locked="0"/>
    </xf>
    <xf numFmtId="0" fontId="7" fillId="0" borderId="33" xfId="0" applyFont="1" applyBorder="1" applyAlignment="1" applyProtection="1">
      <alignment horizontal="right"/>
      <protection locked="0"/>
    </xf>
    <xf numFmtId="0" fontId="7" fillId="0" borderId="34" xfId="0" applyFont="1" applyBorder="1" applyAlignment="1" applyProtection="1">
      <alignment horizontal="right"/>
      <protection locked="0"/>
    </xf>
    <xf numFmtId="2" fontId="0" fillId="0" borderId="0" xfId="0" applyNumberFormat="1" applyBorder="1" applyAlignment="1" applyProtection="1">
      <alignment horizontal="left" indent="1"/>
      <protection locked="0"/>
    </xf>
    <xf numFmtId="2" fontId="0" fillId="0" borderId="0" xfId="0" applyNumberFormat="1" applyAlignment="1" applyProtection="1">
      <alignment horizontal="left" indent="1"/>
      <protection locked="0"/>
    </xf>
    <xf numFmtId="2" fontId="0" fillId="0" borderId="0" xfId="0" applyNumberFormat="1" applyAlignment="1" applyProtection="1">
      <protection locked="0"/>
    </xf>
    <xf numFmtId="0" fontId="7" fillId="0" borderId="33" xfId="0" applyFont="1" applyBorder="1" applyAlignment="1" applyProtection="1">
      <alignment horizontal="center"/>
      <protection locked="0"/>
    </xf>
    <xf numFmtId="0" fontId="7" fillId="0" borderId="34" xfId="0" applyFont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left" vertical="distributed" indent="1"/>
      <protection hidden="1"/>
    </xf>
    <xf numFmtId="0" fontId="0" fillId="0" borderId="0" xfId="0" applyAlignment="1" applyProtection="1">
      <alignment horizontal="left" indent="1"/>
      <protection hidden="1"/>
    </xf>
    <xf numFmtId="2" fontId="0" fillId="4" borderId="0" xfId="0" applyNumberFormat="1" applyFill="1" applyBorder="1" applyAlignment="1" applyProtection="1">
      <alignment horizontal="center" vertical="distributed"/>
      <protection locked="0"/>
    </xf>
    <xf numFmtId="2" fontId="0" fillId="5" borderId="0" xfId="0" applyNumberFormat="1" applyFill="1" applyBorder="1" applyAlignment="1" applyProtection="1">
      <alignment horizontal="center" vertical="distributed"/>
      <protection locked="0"/>
    </xf>
    <xf numFmtId="0" fontId="7" fillId="0" borderId="0" xfId="0" applyNumberFormat="1" applyFont="1" applyBorder="1" applyAlignment="1" applyProtection="1">
      <alignment horizontal="center" vertical="distributed"/>
      <protection hidden="1"/>
    </xf>
    <xf numFmtId="166" fontId="7" fillId="0" borderId="0" xfId="0" applyNumberFormat="1" applyFont="1" applyBorder="1" applyAlignment="1" applyProtection="1">
      <alignment horizontal="center" vertical="distributed"/>
      <protection hidden="1"/>
    </xf>
    <xf numFmtId="2" fontId="7" fillId="6" borderId="0" xfId="0" applyNumberFormat="1" applyFont="1" applyFill="1" applyBorder="1" applyAlignment="1" applyProtection="1">
      <alignment horizontal="center" vertical="distributed"/>
      <protection locked="0"/>
    </xf>
    <xf numFmtId="166" fontId="6" fillId="0" borderId="0" xfId="0" applyNumberFormat="1" applyFont="1" applyFill="1" applyBorder="1" applyAlignment="1" applyProtection="1">
      <alignment horizontal="center" vertical="center"/>
      <protection hidden="1"/>
    </xf>
    <xf numFmtId="166" fontId="6" fillId="0" borderId="0" xfId="0" applyNumberFormat="1" applyFont="1" applyFill="1" applyBorder="1" applyAlignment="1" applyProtection="1">
      <alignment horizontal="center" vertical="distributed"/>
      <protection hidden="1"/>
    </xf>
    <xf numFmtId="0" fontId="5" fillId="0" borderId="0" xfId="0" applyFont="1" applyFill="1" applyBorder="1" applyProtection="1">
      <protection hidden="1"/>
    </xf>
    <xf numFmtId="0" fontId="0" fillId="7" borderId="0" xfId="0" applyFill="1" applyBorder="1" applyAlignment="1" applyProtection="1">
      <alignment horizontal="center"/>
      <protection locked="0"/>
    </xf>
    <xf numFmtId="0" fontId="6" fillId="7" borderId="0" xfId="0" applyFont="1" applyFill="1" applyBorder="1" applyAlignment="1" applyProtection="1">
      <alignment horizontal="center"/>
      <protection hidden="1"/>
    </xf>
    <xf numFmtId="0" fontId="6" fillId="7" borderId="0" xfId="0" applyFont="1" applyFill="1" applyBorder="1" applyAlignment="1" applyProtection="1">
      <alignment horizontal="center" vertical="distributed"/>
      <protection hidden="1"/>
    </xf>
    <xf numFmtId="2" fontId="6" fillId="7" borderId="0" xfId="0" applyNumberFormat="1" applyFont="1" applyFill="1" applyBorder="1" applyAlignment="1" applyProtection="1">
      <alignment horizontal="center" vertical="distributed"/>
      <protection locked="0"/>
    </xf>
    <xf numFmtId="0" fontId="0" fillId="8" borderId="0" xfId="0" applyFill="1" applyBorder="1" applyAlignment="1" applyProtection="1">
      <alignment horizontal="center"/>
      <protection locked="0"/>
    </xf>
    <xf numFmtId="0" fontId="6" fillId="8" borderId="0" xfId="0" applyFont="1" applyFill="1" applyBorder="1" applyAlignment="1" applyProtection="1">
      <alignment horizontal="center"/>
      <protection hidden="1"/>
    </xf>
    <xf numFmtId="0" fontId="0" fillId="8" borderId="0" xfId="0" applyFill="1" applyBorder="1" applyProtection="1">
      <protection locked="0"/>
    </xf>
    <xf numFmtId="0" fontId="0" fillId="8" borderId="0" xfId="0" applyFill="1" applyBorder="1" applyAlignment="1" applyProtection="1">
      <alignment horizontal="right" vertical="distributed"/>
      <protection locked="0"/>
    </xf>
    <xf numFmtId="0" fontId="6" fillId="8" borderId="0" xfId="0" applyFont="1" applyFill="1" applyBorder="1" applyAlignment="1" applyProtection="1">
      <alignment horizontal="center" vertical="distributed"/>
      <protection hidden="1"/>
    </xf>
    <xf numFmtId="0" fontId="0" fillId="8" borderId="0" xfId="0" applyFill="1" applyBorder="1" applyAlignment="1" applyProtection="1">
      <alignment horizontal="center" vertical="distributed"/>
      <protection locked="0"/>
    </xf>
    <xf numFmtId="0" fontId="5" fillId="0" borderId="0" xfId="0" applyFont="1" applyFill="1" applyBorder="1" applyAlignment="1" applyProtection="1">
      <alignment vertical="center"/>
      <protection hidden="1"/>
    </xf>
    <xf numFmtId="0" fontId="0" fillId="7" borderId="0" xfId="0" applyFill="1" applyBorder="1" applyAlignment="1" applyProtection="1">
      <alignment vertical="distributed"/>
      <protection locked="0"/>
    </xf>
    <xf numFmtId="0" fontId="0" fillId="7" borderId="0" xfId="0" applyFill="1" applyBorder="1" applyAlignment="1" applyProtection="1">
      <alignment horizontal="left" vertical="distributed"/>
      <protection locked="0"/>
    </xf>
    <xf numFmtId="0" fontId="0" fillId="3" borderId="30" xfId="0" applyFill="1" applyBorder="1" applyProtection="1">
      <protection hidden="1"/>
    </xf>
    <xf numFmtId="0" fontId="0" fillId="3" borderId="9" xfId="0" applyFill="1" applyBorder="1" applyProtection="1">
      <protection locked="0"/>
    </xf>
    <xf numFmtId="0" fontId="0" fillId="3" borderId="35" xfId="0" applyFill="1" applyBorder="1" applyProtection="1">
      <protection hidden="1"/>
    </xf>
    <xf numFmtId="0" fontId="0" fillId="3" borderId="36" xfId="0" applyFill="1" applyBorder="1" applyProtection="1">
      <protection hidden="1"/>
    </xf>
    <xf numFmtId="0" fontId="0" fillId="0" borderId="9" xfId="0" applyBorder="1" applyProtection="1">
      <protection locked="0"/>
    </xf>
    <xf numFmtId="0" fontId="0" fillId="3" borderId="37" xfId="0" applyFill="1" applyBorder="1" applyProtection="1">
      <protection locked="0"/>
    </xf>
    <xf numFmtId="0" fontId="0" fillId="3" borderId="38" xfId="0" applyFill="1" applyBorder="1" applyProtection="1">
      <protection hidden="1"/>
    </xf>
    <xf numFmtId="0" fontId="0" fillId="3" borderId="39" xfId="0" applyFill="1" applyBorder="1" applyProtection="1">
      <protection hidden="1"/>
    </xf>
    <xf numFmtId="0" fontId="0" fillId="0" borderId="8" xfId="0" applyBorder="1" applyProtection="1">
      <protection locked="0"/>
    </xf>
    <xf numFmtId="0" fontId="0" fillId="3" borderId="12" xfId="0" applyFill="1" applyBorder="1" applyProtection="1">
      <protection locked="0"/>
    </xf>
    <xf numFmtId="0" fontId="0" fillId="3" borderId="40" xfId="0" applyFill="1" applyBorder="1" applyProtection="1">
      <protection hidden="1"/>
    </xf>
    <xf numFmtId="0" fontId="0" fillId="3" borderId="41" xfId="0" applyFill="1" applyBorder="1" applyProtection="1">
      <protection locked="0"/>
    </xf>
    <xf numFmtId="0" fontId="0" fillId="3" borderId="9" xfId="0" applyFill="1" applyBorder="1" applyProtection="1">
      <protection hidden="1"/>
    </xf>
    <xf numFmtId="0" fontId="0" fillId="3" borderId="12" xfId="0" applyFill="1" applyBorder="1" applyAlignment="1" applyProtection="1">
      <alignment horizontal="left"/>
      <protection locked="0"/>
    </xf>
    <xf numFmtId="0" fontId="0" fillId="3" borderId="8" xfId="0" applyFill="1" applyBorder="1" applyProtection="1">
      <protection hidden="1"/>
    </xf>
    <xf numFmtId="0" fontId="0" fillId="3" borderId="41" xfId="0" applyFill="1" applyBorder="1" applyProtection="1">
      <protection hidden="1"/>
    </xf>
    <xf numFmtId="168" fontId="0" fillId="3" borderId="31" xfId="0" applyNumberFormat="1" applyFill="1" applyBorder="1" applyAlignment="1" applyProtection="1">
      <alignment horizontal="center"/>
      <protection locked="0"/>
    </xf>
    <xf numFmtId="0" fontId="0" fillId="3" borderId="42" xfId="0" applyFill="1" applyBorder="1" applyProtection="1">
      <protection locked="0"/>
    </xf>
    <xf numFmtId="168" fontId="0" fillId="3" borderId="31" xfId="0" applyNumberFormat="1" applyFill="1" applyBorder="1" applyAlignment="1" applyProtection="1">
      <alignment horizontal="center" vertical="center"/>
      <protection locked="0"/>
    </xf>
    <xf numFmtId="0" fontId="0" fillId="3" borderId="31" xfId="0" applyFill="1" applyBorder="1" applyAlignment="1" applyProtection="1">
      <alignment vertical="center"/>
      <protection locked="0"/>
    </xf>
    <xf numFmtId="0" fontId="0" fillId="3" borderId="37" xfId="0" applyFill="1" applyBorder="1" applyProtection="1">
      <protection hidden="1"/>
    </xf>
    <xf numFmtId="0" fontId="0" fillId="3" borderId="42" xfId="0" applyFill="1" applyBorder="1" applyProtection="1">
      <protection hidden="1"/>
    </xf>
    <xf numFmtId="168" fontId="0" fillId="3" borderId="31" xfId="0" applyNumberFormat="1" applyFill="1" applyBorder="1" applyAlignment="1" applyProtection="1">
      <alignment horizontal="left"/>
      <protection locked="0"/>
    </xf>
    <xf numFmtId="168" fontId="0" fillId="3" borderId="31" xfId="0" applyNumberFormat="1" applyFill="1" applyBorder="1" applyAlignment="1" applyProtection="1">
      <alignment horizontal="left" vertical="center"/>
      <protection locked="0"/>
    </xf>
    <xf numFmtId="0" fontId="7" fillId="0" borderId="0" xfId="0" applyFont="1" applyBorder="1" applyAlignment="1" applyProtection="1">
      <alignment horizontal="left" vertical="distributed" indent="1"/>
      <protection hidden="1"/>
    </xf>
    <xf numFmtId="0" fontId="6" fillId="3" borderId="0" xfId="0" applyFont="1" applyFill="1" applyBorder="1" applyAlignment="1" applyProtection="1">
      <alignment horizontal="center" vertical="distributed"/>
      <protection hidden="1"/>
    </xf>
    <xf numFmtId="0" fontId="0" fillId="0" borderId="43" xfId="0" applyBorder="1" applyProtection="1">
      <protection locked="0"/>
    </xf>
    <xf numFmtId="0" fontId="0" fillId="0" borderId="44" xfId="0" applyBorder="1" applyProtection="1">
      <protection locked="0"/>
    </xf>
    <xf numFmtId="0" fontId="9" fillId="0" borderId="45" xfId="0" applyFont="1" applyBorder="1" applyProtection="1">
      <protection hidden="1"/>
    </xf>
    <xf numFmtId="0" fontId="6" fillId="3" borderId="46" xfId="0" applyFont="1" applyFill="1" applyBorder="1" applyAlignment="1" applyProtection="1">
      <alignment horizontal="center" vertical="distributed"/>
      <protection hidden="1"/>
    </xf>
    <xf numFmtId="0" fontId="0" fillId="3" borderId="47" xfId="0" applyFill="1" applyBorder="1" applyAlignment="1" applyProtection="1">
      <alignment horizontal="center" vertical="distributed"/>
      <protection locked="0"/>
    </xf>
    <xf numFmtId="0" fontId="0" fillId="0" borderId="47" xfId="0" applyBorder="1" applyAlignment="1" applyProtection="1">
      <alignment horizontal="center" vertical="distributed"/>
      <protection locked="0"/>
    </xf>
    <xf numFmtId="0" fontId="0" fillId="3" borderId="48" xfId="0" applyFill="1" applyBorder="1" applyAlignment="1" applyProtection="1">
      <alignment horizontal="center" vertical="distributed"/>
      <protection hidden="1"/>
    </xf>
    <xf numFmtId="0" fontId="6" fillId="3" borderId="49" xfId="0" applyFont="1" applyFill="1" applyBorder="1" applyAlignment="1" applyProtection="1">
      <alignment horizontal="center" vertical="distributed"/>
      <protection hidden="1"/>
    </xf>
    <xf numFmtId="0" fontId="11" fillId="9" borderId="0" xfId="0" applyNumberFormat="1" applyFont="1" applyFill="1" applyAlignment="1" applyProtection="1">
      <alignment horizontal="center"/>
      <protection hidden="1"/>
    </xf>
    <xf numFmtId="0" fontId="0" fillId="0" borderId="0" xfId="0" applyNumberFormat="1" applyProtection="1">
      <protection hidden="1"/>
    </xf>
    <xf numFmtId="0" fontId="11" fillId="9" borderId="0" xfId="0" applyNumberFormat="1" applyFont="1" applyFill="1" applyAlignment="1" applyProtection="1">
      <alignment horizontal="center"/>
      <protection locked="0"/>
    </xf>
    <xf numFmtId="0" fontId="17" fillId="0" borderId="0" xfId="0" applyFont="1" applyFill="1" applyAlignment="1" applyProtection="1">
      <alignment horizontal="center" vertical="center"/>
      <protection hidden="1"/>
    </xf>
    <xf numFmtId="169" fontId="6" fillId="10" borderId="0" xfId="0" applyNumberFormat="1" applyFont="1" applyFill="1" applyBorder="1" applyAlignment="1" applyProtection="1">
      <alignment vertical="center"/>
      <protection locked="0"/>
    </xf>
    <xf numFmtId="169" fontId="6" fillId="10" borderId="0" xfId="0" applyNumberFormat="1" applyFont="1" applyFill="1" applyBorder="1" applyAlignment="1" applyProtection="1">
      <alignment horizontal="right" vertical="center"/>
      <protection locked="0"/>
    </xf>
    <xf numFmtId="169" fontId="6" fillId="10" borderId="0" xfId="0" applyNumberFormat="1" applyFont="1" applyFill="1" applyBorder="1" applyAlignment="1" applyProtection="1">
      <alignment horizontal="center" vertical="center"/>
      <protection locked="0"/>
    </xf>
    <xf numFmtId="169" fontId="6" fillId="10" borderId="15" xfId="0" applyNumberFormat="1" applyFont="1" applyFill="1" applyBorder="1" applyAlignment="1" applyProtection="1">
      <alignment vertical="center"/>
      <protection locked="0"/>
    </xf>
    <xf numFmtId="169" fontId="6" fillId="10" borderId="15" xfId="0" applyNumberFormat="1" applyFont="1" applyFill="1" applyBorder="1" applyAlignment="1" applyProtection="1">
      <alignment horizontal="center" vertical="center"/>
      <protection locked="0"/>
    </xf>
    <xf numFmtId="169" fontId="6" fillId="10" borderId="0" xfId="0" applyNumberFormat="1" applyFont="1" applyFill="1" applyBorder="1" applyProtection="1">
      <protection locked="0"/>
    </xf>
    <xf numFmtId="169" fontId="6" fillId="10" borderId="0" xfId="0" applyNumberFormat="1" applyFont="1" applyFill="1" applyBorder="1" applyAlignment="1" applyProtection="1">
      <alignment horizontal="right"/>
      <protection locked="0"/>
    </xf>
    <xf numFmtId="169" fontId="6" fillId="10" borderId="0" xfId="1" applyNumberFormat="1" applyFont="1" applyFill="1" applyBorder="1" applyAlignment="1" applyProtection="1">
      <alignment horizontal="right" vertical="center"/>
      <protection locked="0"/>
    </xf>
    <xf numFmtId="169" fontId="6" fillId="10" borderId="0" xfId="0" applyNumberFormat="1" applyFont="1" applyFill="1" applyBorder="1" applyAlignment="1" applyProtection="1">
      <alignment horizontal="center" vertical="distributed"/>
      <protection locked="0"/>
    </xf>
    <xf numFmtId="0" fontId="0" fillId="3" borderId="50" xfId="0" applyFill="1" applyBorder="1" applyAlignment="1" applyProtection="1">
      <alignment horizontal="right" vertical="center"/>
      <protection hidden="1"/>
    </xf>
    <xf numFmtId="0" fontId="0" fillId="3" borderId="23" xfId="0" applyFill="1" applyBorder="1" applyAlignment="1" applyProtection="1">
      <alignment horizontal="right" vertical="center"/>
      <protection hidden="1"/>
    </xf>
    <xf numFmtId="0" fontId="0" fillId="0" borderId="0" xfId="0" applyAlignment="1" applyProtection="1">
      <alignment horizontal="right" vertical="center"/>
      <protection hidden="1"/>
    </xf>
    <xf numFmtId="0" fontId="0" fillId="3" borderId="10" xfId="0" applyFill="1" applyBorder="1" applyAlignment="1" applyProtection="1">
      <alignment horizontal="right" vertical="center"/>
      <protection hidden="1"/>
    </xf>
    <xf numFmtId="0" fontId="0" fillId="3" borderId="11" xfId="0" applyFill="1" applyBorder="1" applyAlignment="1" applyProtection="1">
      <alignment horizontal="right" vertical="center"/>
      <protection hidden="1"/>
    </xf>
    <xf numFmtId="0" fontId="0" fillId="11" borderId="50" xfId="0" applyFill="1" applyBorder="1" applyAlignment="1" applyProtection="1">
      <alignment horizontal="right" vertical="center"/>
      <protection hidden="1"/>
    </xf>
    <xf numFmtId="0" fontId="0" fillId="11" borderId="24" xfId="0" applyFill="1" applyBorder="1" applyAlignment="1" applyProtection="1">
      <alignment horizontal="right" vertical="center"/>
      <protection hidden="1"/>
    </xf>
    <xf numFmtId="0" fontId="0" fillId="0" borderId="0" xfId="0" applyAlignment="1" applyProtection="1">
      <alignment horizontal="left" vertical="center"/>
      <protection hidden="1"/>
    </xf>
    <xf numFmtId="0" fontId="3" fillId="0" borderId="0" xfId="0" applyFont="1" applyFill="1" applyAlignment="1" applyProtection="1">
      <alignment horizontal="right" vertical="center"/>
      <protection hidden="1"/>
    </xf>
    <xf numFmtId="0" fontId="0" fillId="12" borderId="0" xfId="0" applyFill="1" applyProtection="1">
      <protection locked="0"/>
    </xf>
    <xf numFmtId="0" fontId="1" fillId="12" borderId="0" xfId="0" applyFont="1" applyFill="1" applyProtection="1">
      <protection locked="0"/>
    </xf>
    <xf numFmtId="2" fontId="0" fillId="0" borderId="0" xfId="0" applyNumberFormat="1" applyAlignment="1" applyProtection="1">
      <alignment horizontal="right" vertical="center"/>
      <protection locked="0"/>
    </xf>
    <xf numFmtId="2" fontId="0" fillId="0" borderId="0" xfId="0" applyNumberFormat="1" applyAlignment="1" applyProtection="1">
      <alignment horizontal="left" vertical="center"/>
      <protection locked="0"/>
    </xf>
    <xf numFmtId="1" fontId="0" fillId="7" borderId="0" xfId="0" applyNumberFormat="1" applyFill="1" applyBorder="1" applyAlignment="1" applyProtection="1">
      <alignment horizontal="center" vertical="distributed"/>
      <protection locked="0"/>
    </xf>
    <xf numFmtId="0" fontId="0" fillId="0" borderId="0" xfId="0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 vertical="distributed"/>
      <protection hidden="1"/>
    </xf>
    <xf numFmtId="2" fontId="0" fillId="3" borderId="33" xfId="0" applyNumberFormat="1" applyFill="1" applyBorder="1" applyAlignment="1" applyProtection="1">
      <alignment horizontal="center"/>
      <protection locked="0"/>
    </xf>
    <xf numFmtId="2" fontId="0" fillId="6" borderId="0" xfId="0" applyNumberFormat="1" applyFill="1" applyBorder="1" applyAlignment="1" applyProtection="1">
      <alignment horizontal="center" vertical="distributed"/>
      <protection locked="0"/>
    </xf>
    <xf numFmtId="0" fontId="7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19" fillId="0" borderId="0" xfId="0" applyFont="1" applyAlignment="1" applyProtection="1">
      <alignment horizontal="center"/>
      <protection hidden="1"/>
    </xf>
    <xf numFmtId="0" fontId="18" fillId="0" borderId="0" xfId="0" applyFont="1" applyProtection="1">
      <protection hidden="1"/>
    </xf>
    <xf numFmtId="0" fontId="10" fillId="9" borderId="0" xfId="0" applyFont="1" applyFill="1" applyAlignment="1" applyProtection="1">
      <alignment horizontal="center"/>
      <protection locked="0"/>
    </xf>
    <xf numFmtId="0" fontId="20" fillId="0" borderId="0" xfId="0" applyFont="1" applyFill="1" applyAlignment="1" applyProtection="1">
      <alignment horizontal="center"/>
      <protection hidden="1"/>
    </xf>
    <xf numFmtId="2" fontId="20" fillId="0" borderId="0" xfId="0" applyNumberFormat="1" applyFont="1" applyFill="1" applyAlignment="1" applyProtection="1">
      <alignment horizontal="center"/>
      <protection hidden="1"/>
    </xf>
    <xf numFmtId="0" fontId="20" fillId="0" borderId="0" xfId="0" applyFont="1" applyFill="1" applyProtection="1">
      <protection hidden="1"/>
    </xf>
    <xf numFmtId="165" fontId="20" fillId="0" borderId="0" xfId="0" applyNumberFormat="1" applyFont="1" applyFill="1" applyAlignment="1" applyProtection="1">
      <alignment horizontal="center"/>
      <protection hidden="1"/>
    </xf>
    <xf numFmtId="1" fontId="20" fillId="0" borderId="0" xfId="0" applyNumberFormat="1" applyFont="1" applyFill="1" applyAlignment="1" applyProtection="1">
      <alignment horizontal="center"/>
      <protection hidden="1"/>
    </xf>
    <xf numFmtId="14" fontId="20" fillId="0" borderId="0" xfId="0" applyNumberFormat="1" applyFont="1" applyFill="1" applyProtection="1">
      <protection hidden="1"/>
    </xf>
    <xf numFmtId="0" fontId="20" fillId="2" borderId="0" xfId="0" applyFont="1" applyFill="1" applyAlignment="1" applyProtection="1">
      <alignment horizontal="center"/>
      <protection hidden="1"/>
    </xf>
    <xf numFmtId="165" fontId="20" fillId="2" borderId="0" xfId="0" applyNumberFormat="1" applyFont="1" applyFill="1" applyAlignment="1" applyProtection="1">
      <alignment horizontal="center"/>
      <protection hidden="1"/>
    </xf>
    <xf numFmtId="0" fontId="20" fillId="0" borderId="0" xfId="0" applyFont="1" applyProtection="1">
      <protection hidden="1"/>
    </xf>
    <xf numFmtId="0" fontId="20" fillId="0" borderId="0" xfId="0" applyFont="1" applyAlignment="1" applyProtection="1">
      <alignment horizontal="center"/>
      <protection hidden="1"/>
    </xf>
    <xf numFmtId="0" fontId="20" fillId="0" borderId="0" xfId="0" applyFont="1"/>
    <xf numFmtId="2" fontId="0" fillId="9" borderId="0" xfId="0" applyNumberFormat="1" applyFill="1" applyAlignment="1" applyProtection="1">
      <alignment vertical="center"/>
      <protection locked="0"/>
    </xf>
    <xf numFmtId="0" fontId="7" fillId="9" borderId="0" xfId="0" applyFont="1" applyFill="1" applyBorder="1" applyAlignment="1" applyProtection="1">
      <alignment horizontal="center" vertical="center"/>
      <protection hidden="1"/>
    </xf>
    <xf numFmtId="2" fontId="0" fillId="9" borderId="0" xfId="0" applyNumberFormat="1" applyFill="1" applyBorder="1" applyAlignment="1" applyProtection="1">
      <alignment horizontal="center" vertical="center"/>
      <protection locked="0"/>
    </xf>
    <xf numFmtId="2" fontId="10" fillId="9" borderId="0" xfId="0" applyNumberFormat="1" applyFont="1" applyFill="1" applyAlignment="1" applyProtection="1">
      <alignment horizontal="center"/>
      <protection locked="0"/>
    </xf>
    <xf numFmtId="2" fontId="10" fillId="9" borderId="0" xfId="0" applyNumberFormat="1" applyFont="1" applyFill="1" applyAlignment="1" applyProtection="1">
      <alignment horizontal="left"/>
      <protection locked="0"/>
    </xf>
    <xf numFmtId="2" fontId="10" fillId="9" borderId="23" xfId="0" applyNumberFormat="1" applyFont="1" applyFill="1" applyBorder="1" applyAlignment="1" applyProtection="1">
      <alignment horizontal="center"/>
      <protection locked="0"/>
    </xf>
    <xf numFmtId="0" fontId="10" fillId="9" borderId="23" xfId="0" applyFont="1" applyFill="1" applyBorder="1" applyAlignment="1" applyProtection="1">
      <alignment horizontal="center"/>
      <protection locked="0"/>
    </xf>
    <xf numFmtId="2" fontId="10" fillId="9" borderId="0" xfId="0" applyNumberFormat="1" applyFont="1" applyFill="1" applyAlignment="1" applyProtection="1">
      <protection locked="0"/>
    </xf>
    <xf numFmtId="0" fontId="10" fillId="9" borderId="0" xfId="0" applyFont="1" applyFill="1" applyAlignment="1" applyProtection="1">
      <alignment horizontal="center" vertical="center"/>
      <protection locked="0"/>
    </xf>
    <xf numFmtId="2" fontId="7" fillId="9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 applyProtection="1">
      <alignment horizontal="center"/>
      <protection locked="0"/>
    </xf>
    <xf numFmtId="2" fontId="0" fillId="9" borderId="0" xfId="0" applyNumberFormat="1" applyFill="1" applyAlignment="1" applyProtection="1">
      <alignment horizontal="center"/>
      <protection locked="0"/>
    </xf>
    <xf numFmtId="2" fontId="0" fillId="6" borderId="0" xfId="0" applyNumberFormat="1" applyFill="1" applyAlignment="1" applyProtection="1">
      <alignment horizontal="center"/>
      <protection locked="0"/>
    </xf>
    <xf numFmtId="168" fontId="0" fillId="10" borderId="0" xfId="0" applyNumberFormat="1" applyFill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center"/>
      <protection hidden="1"/>
    </xf>
    <xf numFmtId="168" fontId="0" fillId="10" borderId="0" xfId="0" applyNumberFormat="1" applyFill="1" applyBorder="1" applyAlignment="1" applyProtection="1">
      <alignment horizontal="left" vertical="center"/>
      <protection locked="0"/>
    </xf>
    <xf numFmtId="168" fontId="0" fillId="10" borderId="0" xfId="0" applyNumberFormat="1" applyFill="1" applyBorder="1" applyAlignment="1" applyProtection="1">
      <alignment horizontal="center" vertical="center"/>
      <protection locked="0"/>
    </xf>
    <xf numFmtId="2" fontId="0" fillId="3" borderId="33" xfId="0" applyNumberFormat="1" applyFill="1" applyBorder="1" applyAlignment="1" applyProtection="1">
      <alignment horizontal="center"/>
      <protection locked="0"/>
    </xf>
    <xf numFmtId="0" fontId="4" fillId="12" borderId="0" xfId="0" applyFont="1" applyFill="1" applyAlignment="1" applyProtection="1">
      <alignment horizontal="center"/>
      <protection locked="0"/>
    </xf>
    <xf numFmtId="2" fontId="0" fillId="4" borderId="0" xfId="0" applyNumberFormat="1" applyFill="1" applyAlignment="1" applyProtection="1">
      <alignment horizontal="center"/>
      <protection locked="0"/>
    </xf>
    <xf numFmtId="2" fontId="13" fillId="6" borderId="0" xfId="1" applyNumberFormat="1" applyFont="1" applyFill="1" applyAlignment="1" applyProtection="1">
      <alignment horizontal="center"/>
      <protection locked="0"/>
    </xf>
    <xf numFmtId="2" fontId="0" fillId="6" borderId="0" xfId="0" applyNumberFormat="1" applyFill="1" applyAlignment="1" applyProtection="1">
      <alignment horizontal="center" vertical="center"/>
      <protection locked="0"/>
    </xf>
    <xf numFmtId="2" fontId="7" fillId="3" borderId="33" xfId="0" applyNumberFormat="1" applyFont="1" applyFill="1" applyBorder="1" applyAlignment="1" applyProtection="1">
      <alignment horizontal="center"/>
      <protection locked="0"/>
    </xf>
    <xf numFmtId="2" fontId="13" fillId="6" borderId="0" xfId="1" applyNumberFormat="1" applyFont="1" applyFill="1" applyAlignment="1" applyProtection="1">
      <alignment horizontal="left"/>
      <protection locked="0"/>
    </xf>
    <xf numFmtId="167" fontId="7" fillId="0" borderId="0" xfId="0" applyNumberFormat="1" applyFont="1" applyBorder="1" applyAlignment="1" applyProtection="1">
      <alignment horizontal="center" vertical="distributed"/>
      <protection hidden="1"/>
    </xf>
    <xf numFmtId="0" fontId="4" fillId="12" borderId="0" xfId="0" applyFont="1" applyFill="1" applyAlignment="1" applyProtection="1">
      <alignment horizontal="left" indent="1"/>
      <protection locked="0"/>
    </xf>
    <xf numFmtId="168" fontId="0" fillId="10" borderId="0" xfId="0" applyNumberFormat="1" applyFill="1" applyBorder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17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hidden="1"/>
    </xf>
    <xf numFmtId="0" fontId="7" fillId="0" borderId="51" xfId="0" applyFont="1" applyBorder="1" applyAlignment="1" applyProtection="1">
      <alignment horizontal="center" vertical="center"/>
      <protection locked="0"/>
    </xf>
    <xf numFmtId="0" fontId="0" fillId="0" borderId="52" xfId="0" applyBorder="1" applyAlignment="1" applyProtection="1">
      <alignment horizontal="center" vertical="center"/>
      <protection locked="0"/>
    </xf>
    <xf numFmtId="0" fontId="10" fillId="9" borderId="0" xfId="0" applyFont="1" applyFill="1" applyAlignment="1" applyProtection="1">
      <alignment horizontal="center"/>
      <protection locked="0"/>
    </xf>
    <xf numFmtId="0" fontId="1" fillId="0" borderId="51" xfId="0" applyFon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hidden="1"/>
    </xf>
    <xf numFmtId="0" fontId="10" fillId="12" borderId="0" xfId="0" applyFont="1" applyFill="1" applyAlignment="1" applyProtection="1">
      <alignment horizontal="center" vertical="center"/>
      <protection locked="0"/>
    </xf>
    <xf numFmtId="1" fontId="3" fillId="12" borderId="0" xfId="0" applyNumberFormat="1" applyFont="1" applyFill="1" applyAlignment="1" applyProtection="1">
      <alignment horizontal="center" vertical="center"/>
      <protection locked="0"/>
    </xf>
    <xf numFmtId="0" fontId="3" fillId="3" borderId="0" xfId="0" applyFont="1" applyFill="1" applyAlignment="1" applyProtection="1">
      <alignment horizontal="right" vertical="center"/>
      <protection hidden="1"/>
    </xf>
    <xf numFmtId="167" fontId="0" fillId="0" borderId="0" xfId="0" applyNumberFormat="1" applyBorder="1" applyAlignment="1" applyProtection="1">
      <alignment horizontal="center" vertical="distributed"/>
      <protection hidden="1"/>
    </xf>
    <xf numFmtId="0" fontId="7" fillId="0" borderId="0" xfId="0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0" fillId="0" borderId="0" xfId="0" applyFont="1" applyFill="1" applyBorder="1" applyAlignment="1" applyProtection="1">
      <alignment horizontal="center"/>
      <protection hidden="1"/>
    </xf>
    <xf numFmtId="0" fontId="7" fillId="0" borderId="0" xfId="0" applyFont="1" applyFill="1" applyBorder="1" applyAlignment="1" applyProtection="1">
      <alignment horizontal="center" vertical="distributed"/>
      <protection hidden="1"/>
    </xf>
    <xf numFmtId="0" fontId="0" fillId="0" borderId="0" xfId="0" applyFill="1" applyBorder="1" applyAlignment="1" applyProtection="1">
      <alignment horizontal="center" vertical="distributed"/>
      <protection hidden="1"/>
    </xf>
    <xf numFmtId="167" fontId="0" fillId="10" borderId="0" xfId="0" applyNumberFormat="1" applyFill="1" applyBorder="1" applyAlignment="1" applyProtection="1">
      <alignment horizontal="center" vertical="distributed"/>
      <protection locked="0"/>
    </xf>
    <xf numFmtId="0" fontId="0" fillId="0" borderId="0" xfId="0" applyBorder="1" applyAlignment="1" applyProtection="1">
      <alignment horizontal="center" vertical="distributed"/>
      <protection hidden="1"/>
    </xf>
    <xf numFmtId="0" fontId="10" fillId="0" borderId="0" xfId="0" applyFont="1" applyFill="1" applyBorder="1" applyAlignment="1" applyProtection="1">
      <alignment horizontal="center" vertical="distributed"/>
      <protection hidden="1"/>
    </xf>
    <xf numFmtId="167" fontId="7" fillId="0" borderId="0" xfId="0" applyNumberFormat="1" applyFont="1" applyBorder="1" applyAlignment="1" applyProtection="1">
      <alignment horizontal="left" vertical="distributed" indent="1"/>
      <protection hidden="1"/>
    </xf>
    <xf numFmtId="167" fontId="0" fillId="10" borderId="0" xfId="0" applyNumberFormat="1" applyFill="1" applyBorder="1" applyAlignment="1" applyProtection="1">
      <alignment horizontal="center" vertical="center"/>
      <protection locked="0"/>
    </xf>
    <xf numFmtId="2" fontId="0" fillId="6" borderId="0" xfId="0" applyNumberFormat="1" applyFill="1" applyBorder="1" applyAlignment="1" applyProtection="1">
      <alignment horizontal="center" vertical="distributed"/>
      <protection locked="0"/>
    </xf>
    <xf numFmtId="0" fontId="7" fillId="0" borderId="0" xfId="0" applyFont="1" applyBorder="1" applyAlignment="1" applyProtection="1">
      <alignment horizontal="center" vertical="top"/>
      <protection hidden="1"/>
    </xf>
    <xf numFmtId="0" fontId="0" fillId="0" borderId="0" xfId="0" applyBorder="1" applyAlignment="1" applyProtection="1">
      <alignment horizontal="center" vertical="top"/>
      <protection hidden="1"/>
    </xf>
  </cellXfs>
  <cellStyles count="2">
    <cellStyle name="Comma" xfId="1" builtinId="3"/>
    <cellStyle name="Normal" xfId="0" builtinId="0"/>
  </cellStyles>
  <dxfs count="237">
    <dxf>
      <font>
        <color theme="0" tint="-4.9989318521683403E-2"/>
      </font>
      <fill>
        <patternFill patternType="none">
          <bgColor indexed="65"/>
        </patternFill>
      </fill>
    </dxf>
    <dxf>
      <font>
        <color theme="0" tint="-4.9989318521683403E-2"/>
      </font>
      <fill>
        <patternFill patternType="none">
          <bgColor indexed="65"/>
        </patternFill>
      </fill>
    </dxf>
    <dxf>
      <font>
        <color theme="0" tint="-4.9989318521683403E-2"/>
      </font>
      <fill>
        <patternFill patternType="none">
          <bgColor indexed="65"/>
        </patternFill>
      </fill>
    </dxf>
    <dxf>
      <font>
        <color theme="0" tint="-4.9989318521683403E-2"/>
      </font>
      <fill>
        <patternFill patternType="none">
          <bgColor indexed="65"/>
        </patternFill>
      </fill>
    </dxf>
    <dxf>
      <font>
        <color theme="0" tint="-4.9989318521683403E-2"/>
      </font>
      <fill>
        <patternFill patternType="none">
          <bgColor indexed="65"/>
        </patternFill>
      </fill>
    </dxf>
    <dxf>
      <fill>
        <patternFill patternType="none">
          <bgColor indexed="65"/>
        </patternFill>
      </fill>
      <border>
        <left style="thin">
          <color theme="0" tint="-0.499984740745262"/>
        </left>
        <right/>
        <top/>
        <bottom/>
      </border>
    </dxf>
    <dxf>
      <fill>
        <patternFill patternType="none">
          <bgColor indexed="65"/>
        </patternFill>
      </fill>
      <border>
        <left style="thin">
          <color theme="0" tint="-0.499984740745262"/>
        </left>
        <right/>
        <top/>
        <bottom/>
      </border>
    </dxf>
    <dxf>
      <fill>
        <patternFill patternType="none">
          <bgColor indexed="65"/>
        </patternFill>
      </fill>
      <border>
        <left style="thin">
          <color theme="0" tint="-0.499984740745262"/>
        </left>
        <right/>
        <top/>
        <bottom/>
      </border>
    </dxf>
    <dxf>
      <fill>
        <patternFill patternType="none">
          <bgColor indexed="65"/>
        </patternFill>
      </fill>
      <border>
        <left/>
        <right style="thin">
          <color theme="0" tint="-0.499984740745262"/>
        </right>
        <top/>
        <bottom/>
      </border>
    </dxf>
    <dxf>
      <fill>
        <patternFill patternType="none">
          <bgColor indexed="65"/>
        </patternFill>
      </fill>
      <border>
        <left/>
        <right style="thin">
          <color theme="0" tint="-0.499984740745262"/>
        </right>
        <top/>
        <bottom/>
      </border>
    </dxf>
    <dxf>
      <fill>
        <patternFill patternType="none">
          <bgColor indexed="65"/>
        </patternFill>
      </fill>
      <border>
        <left style="thin">
          <color theme="0" tint="-0.499984740745262"/>
        </left>
        <right/>
        <top/>
        <bottom/>
      </border>
    </dxf>
    <dxf>
      <fill>
        <patternFill patternType="none">
          <bgColor indexed="65"/>
        </patternFill>
      </fill>
      <border>
        <left style="thin">
          <color theme="0" tint="-0.499984740745262"/>
        </left>
        <right/>
        <top/>
        <bottom/>
      </border>
    </dxf>
    <dxf>
      <fill>
        <patternFill patternType="none">
          <bgColor indexed="65"/>
        </patternFill>
      </fill>
      <border>
        <left/>
        <right style="thin">
          <color theme="0" tint="-0.499984740745262"/>
        </right>
        <top/>
        <bottom/>
      </border>
    </dxf>
    <dxf>
      <fill>
        <patternFill patternType="none">
          <bgColor indexed="65"/>
        </patternFill>
      </fill>
      <border>
        <left/>
        <right style="thin">
          <color theme="0" tint="-0.499984740745262"/>
        </right>
        <top/>
        <bottom/>
      </border>
    </dxf>
    <dxf>
      <font>
        <color theme="0" tint="-4.9989318521683403E-2"/>
      </font>
    </dxf>
    <dxf>
      <font>
        <color theme="0" tint="-4.9989318521683403E-2"/>
      </font>
      <fill>
        <patternFill patternType="none">
          <bgColor indexed="65"/>
        </patternFill>
      </fill>
    </dxf>
    <dxf>
      <font>
        <color theme="0" tint="-4.9989318521683403E-2"/>
      </font>
    </dxf>
    <dxf>
      <font>
        <color theme="0" tint="-4.9989318521683403E-2"/>
      </font>
      <fill>
        <patternFill patternType="none">
          <bgColor indexed="65"/>
        </patternFill>
      </fill>
    </dxf>
    <dxf>
      <font>
        <color theme="0" tint="-4.9989318521683403E-2"/>
      </font>
      <fill>
        <patternFill patternType="none">
          <bgColor indexed="65"/>
        </patternFill>
      </fill>
    </dxf>
    <dxf>
      <font>
        <color theme="0" tint="-4.9989318521683403E-2"/>
      </font>
      <fill>
        <patternFill patternType="none">
          <bgColor indexed="65"/>
        </patternFill>
      </fill>
    </dxf>
    <dxf>
      <font>
        <color theme="0" tint="-4.9989318521683403E-2"/>
      </font>
      <fill>
        <patternFill patternType="none">
          <bgColor indexed="65"/>
        </patternFill>
      </fill>
    </dxf>
    <dxf>
      <font>
        <color theme="0" tint="-4.9989318521683403E-2"/>
      </font>
      <fill>
        <patternFill patternType="none">
          <bgColor indexed="65"/>
        </patternFill>
      </fill>
    </dxf>
    <dxf>
      <font>
        <color theme="0" tint="-4.9989318521683403E-2"/>
      </font>
      <fill>
        <patternFill patternType="none">
          <bgColor indexed="65"/>
        </patternFill>
      </fill>
    </dxf>
    <dxf>
      <font>
        <color theme="0" tint="-4.9989318521683403E-2"/>
      </font>
      <fill>
        <patternFill patternType="none">
          <bgColor indexed="65"/>
        </patternFill>
      </fill>
    </dxf>
    <dxf>
      <fill>
        <patternFill patternType="none">
          <bgColor indexed="65"/>
        </patternFill>
      </fill>
      <border>
        <left/>
        <right/>
        <top/>
        <bottom style="thin">
          <color theme="0" tint="-0.499984740745262"/>
        </bottom>
      </border>
    </dxf>
    <dxf>
      <fill>
        <patternFill patternType="none">
          <bgColor indexed="65"/>
        </patternFill>
      </fill>
      <border>
        <left/>
        <right/>
        <top/>
        <bottom style="thin">
          <color theme="0" tint="-0.499984740745262"/>
        </bottom>
      </border>
    </dxf>
    <dxf>
      <fill>
        <patternFill patternType="none">
          <bgColor indexed="65"/>
        </patternFill>
      </fill>
      <border>
        <left/>
        <right/>
        <top/>
        <bottom style="thin">
          <color theme="0" tint="-0.499984740745262"/>
        </bottom>
      </border>
    </dxf>
    <dxf>
      <fill>
        <patternFill patternType="none">
          <bgColor indexed="65"/>
        </patternFill>
      </fill>
      <border>
        <left/>
        <right/>
        <top/>
        <bottom style="thin">
          <color theme="0" tint="-0.499984740745262"/>
        </bottom>
      </border>
    </dxf>
    <dxf>
      <fill>
        <patternFill patternType="none">
          <bgColor indexed="65"/>
        </patternFill>
      </fill>
      <border>
        <left/>
        <right/>
        <top/>
        <bottom style="thin">
          <color theme="0" tint="-0.499984740745262"/>
        </bottom>
      </border>
    </dxf>
    <dxf>
      <border>
        <right style="thin">
          <color theme="0" tint="-0.499984740745262"/>
        </right>
        <top style="thin">
          <color theme="0" tint="-0.499984740745262"/>
        </top>
      </border>
    </dxf>
    <dxf>
      <border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border>
        <right style="thin">
          <color theme="0" tint="-0.499984740745262"/>
        </right>
      </border>
    </dxf>
    <dxf>
      <border>
        <left style="thin">
          <color theme="0" tint="-0.499984740745262"/>
        </left>
      </border>
    </dxf>
    <dxf>
      <border>
        <right style="thin">
          <color theme="0" tint="-0.499984740745262"/>
        </right>
      </border>
    </dxf>
    <dxf>
      <border>
        <bottom style="thin">
          <color theme="0" tint="-0.499984740745262"/>
        </bottom>
      </border>
    </dxf>
    <dxf>
      <border>
        <top style="thin">
          <color theme="0" tint="-0.499984740745262"/>
        </top>
      </border>
    </dxf>
    <dxf>
      <border>
        <left style="thin">
          <color theme="0" tint="-0.499984740745262"/>
        </left>
      </border>
    </dxf>
    <dxf>
      <border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border>
        <right style="thin">
          <color theme="0" tint="-0.499984740745262"/>
        </right>
        <top style="thin">
          <color theme="0" tint="-0.499984740745262"/>
        </top>
      </border>
    </dxf>
    <dxf>
      <border>
        <right style="thin">
          <color theme="0" tint="-0.499984740745262"/>
        </right>
      </border>
    </dxf>
    <dxf>
      <border>
        <top style="thin">
          <color theme="0" tint="-0.499984740745262"/>
        </top>
      </border>
    </dxf>
    <dxf>
      <border>
        <bottom style="thin">
          <color theme="0" tint="-0.499984740745262"/>
        </bottom>
      </border>
    </dxf>
    <dxf>
      <border>
        <left style="thin">
          <color theme="0" tint="-0.499984740745262"/>
        </left>
      </border>
    </dxf>
    <dxf>
      <border>
        <right style="thin">
          <color theme="0" tint="-0.499984740745262"/>
        </right>
        <top style="thin">
          <color theme="0" tint="-0.499984740745262"/>
        </top>
      </border>
    </dxf>
    <dxf>
      <border>
        <right style="thin">
          <color theme="0" tint="-0.499984740745262"/>
        </right>
      </border>
    </dxf>
    <dxf>
      <border>
        <top style="thin">
          <color theme="0" tint="-0.499984740745262"/>
        </top>
      </border>
    </dxf>
    <dxf>
      <border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border>
        <bottom style="thin">
          <color theme="0" tint="-0.499984740745262"/>
        </bottom>
      </border>
    </dxf>
    <dxf>
      <border>
        <left style="thin">
          <color theme="0" tint="-0.499984740745262"/>
        </left>
        <top style="thin">
          <color theme="0" tint="-0.499984740745262"/>
        </top>
      </border>
    </dxf>
    <dxf>
      <border>
        <left style="thin">
          <color theme="0" tint="-0.499984740745262"/>
        </left>
      </border>
    </dxf>
    <dxf>
      <border>
        <left style="thin">
          <color theme="0" tint="-0.499984740745262"/>
        </left>
      </border>
    </dxf>
    <dxf>
      <border>
        <right style="thin">
          <color theme="0" tint="-0.499984740745262"/>
        </right>
        <top style="thin">
          <color theme="0" tint="-0.499984740745262"/>
        </top>
      </border>
    </dxf>
    <dxf>
      <border>
        <left style="thin">
          <color theme="0" tint="-0.499984740745262"/>
        </left>
      </border>
    </dxf>
    <dxf>
      <border>
        <right style="thin">
          <color theme="0" tint="-0.499984740745262"/>
        </right>
      </border>
    </dxf>
    <dxf>
      <border>
        <top style="thin">
          <color theme="0" tint="-0.499984740745262"/>
        </top>
      </border>
    </dxf>
    <dxf>
      <border>
        <bottom style="thin">
          <color theme="0" tint="-0.499984740745262"/>
        </bottom>
      </border>
    </dxf>
    <dxf>
      <border>
        <right style="thin">
          <color theme="0" tint="-0.499984740745262"/>
        </right>
        <top style="thin">
          <color theme="0" tint="-0.499984740745262"/>
        </top>
      </border>
    </dxf>
    <dxf>
      <border>
        <left style="thin">
          <color theme="0" tint="-0.499984740745262"/>
        </left>
        <top style="thin">
          <color theme="0" tint="-0.499984740745262"/>
        </top>
      </border>
    </dxf>
    <dxf>
      <border>
        <top style="thin">
          <color theme="0" tint="-0.499984740745262"/>
        </top>
      </border>
    </dxf>
    <dxf>
      <border>
        <right style="thin">
          <color theme="0" tint="-0.499984740745262"/>
        </right>
      </border>
    </dxf>
    <dxf>
      <border>
        <right style="thin">
          <color theme="0" tint="-0.499984740745262"/>
        </right>
        <top style="thin">
          <color theme="0" tint="-0.499984740745262"/>
        </top>
      </border>
    </dxf>
    <dxf>
      <border>
        <right style="thin">
          <color theme="0" tint="-0.499984740745262"/>
        </right>
      </border>
    </dxf>
    <dxf>
      <border>
        <bottom style="thin">
          <color theme="0" tint="-0.499984740745262"/>
        </bottom>
      </border>
    </dxf>
    <dxf>
      <border>
        <top style="thin">
          <color theme="0" tint="-0.499984740745262"/>
        </top>
      </border>
    </dxf>
    <dxf>
      <border>
        <right style="thin">
          <color theme="0" tint="-0.499984740745262"/>
        </right>
        <bottom style="thin">
          <color theme="0" tint="-0.499984740745262"/>
        </bottom>
      </border>
    </dxf>
    <dxf>
      <border>
        <top style="thin">
          <color theme="0" tint="-0.499984740745262"/>
        </top>
      </border>
    </dxf>
    <dxf>
      <border>
        <left style="thin">
          <color theme="0" tint="-0.499984740745262"/>
        </left>
      </border>
    </dxf>
    <dxf>
      <border>
        <left style="thin">
          <color theme="0" tint="-0.499984740745262"/>
        </left>
        <bottom style="thin">
          <color theme="0" tint="-0.499984740745262"/>
        </bottom>
      </border>
    </dxf>
    <dxf>
      <border>
        <bottom style="thin">
          <color theme="0" tint="-0.499984740745262"/>
        </bottom>
      </border>
    </dxf>
    <dxf>
      <border>
        <top style="thin">
          <color theme="0" tint="-0.499984740745262"/>
        </top>
      </border>
    </dxf>
    <dxf>
      <border>
        <top style="thin">
          <color theme="0" tint="-0.499984740745262"/>
        </top>
      </border>
    </dxf>
    <dxf>
      <border>
        <right style="thin">
          <color theme="0" tint="-0.499984740745262"/>
        </right>
      </border>
    </dxf>
    <dxf>
      <border>
        <left style="thin">
          <color theme="0" tint="-0.499984740745262"/>
        </left>
      </border>
    </dxf>
    <dxf>
      <border>
        <left style="thin">
          <color theme="0" tint="-0.499984740745262"/>
        </left>
      </border>
    </dxf>
    <dxf>
      <border>
        <left style="thin">
          <color theme="0" tint="-0.499984740745262"/>
        </left>
        <bottom style="thin">
          <color theme="0" tint="-0.499984740745262"/>
        </bottom>
      </border>
    </dxf>
    <dxf>
      <border>
        <left style="thin">
          <color theme="0" tint="-0.499984740745262"/>
        </left>
      </border>
    </dxf>
    <dxf>
      <border>
        <right style="thin">
          <color theme="0" tint="-0.499984740745262"/>
        </right>
      </border>
    </dxf>
    <dxf>
      <border>
        <top style="thin">
          <color theme="0" tint="-0.499984740745262"/>
        </top>
      </border>
    </dxf>
    <dxf>
      <border>
        <bottom style="thin">
          <color theme="0" tint="-0.499984740745262"/>
        </bottom>
      </border>
    </dxf>
    <dxf>
      <border>
        <right style="thin">
          <color theme="0" tint="-0.499984740745262"/>
        </right>
      </border>
    </dxf>
    <dxf>
      <border>
        <right/>
      </border>
    </dxf>
    <dxf>
      <font>
        <color theme="0" tint="-4.9989318521683403E-2"/>
      </font>
    </dxf>
    <dxf>
      <border>
        <left/>
        <right style="thin">
          <color theme="0" tint="-0.499984740745262"/>
        </right>
      </border>
    </dxf>
    <dxf>
      <border>
        <left/>
        <right style="thin">
          <color theme="0" tint="-0.499984740745262"/>
        </right>
      </border>
    </dxf>
    <dxf>
      <border>
        <left/>
        <right style="thin">
          <color theme="0" tint="-0.499984740745262"/>
        </right>
      </border>
    </dxf>
    <dxf>
      <border>
        <left/>
        <right style="thin">
          <color theme="0" tint="-0.499984740745262"/>
        </right>
      </border>
    </dxf>
    <dxf>
      <border>
        <left/>
        <right style="thin">
          <color theme="0" tint="-0.499984740745262"/>
        </right>
      </border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  <fill>
        <patternFill patternType="none">
          <bgColor indexed="65"/>
        </patternFill>
      </fill>
    </dxf>
    <dxf>
      <font>
        <color theme="0" tint="-4.9989318521683403E-2"/>
      </font>
      <fill>
        <patternFill patternType="none">
          <bgColor indexed="65"/>
        </patternFill>
      </fill>
    </dxf>
    <dxf>
      <font>
        <color theme="0" tint="-4.9989318521683403E-2"/>
      </font>
      <fill>
        <patternFill patternType="none">
          <bgColor indexed="6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4.9989318521683403E-2"/>
      </font>
      <fill>
        <patternFill patternType="none">
          <bgColor indexed="6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4.9989318521683403E-2"/>
      </font>
      <fill>
        <patternFill patternType="none">
          <bgColor indexed="65"/>
        </patternFill>
      </fill>
    </dxf>
    <dxf>
      <font>
        <color theme="0" tint="-4.9989318521683403E-2"/>
      </font>
      <fill>
        <patternFill patternType="none">
          <bgColor indexed="65"/>
        </patternFill>
      </fill>
    </dxf>
    <dxf>
      <font>
        <color theme="0" tint="-4.9989318521683403E-2"/>
      </font>
      <fill>
        <patternFill patternType="none">
          <bgColor indexed="6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4.9989318521683403E-2"/>
      </font>
      <fill>
        <patternFill patternType="none">
          <bgColor indexed="6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4.9989318521683403E-2"/>
      </font>
      <fill>
        <patternFill patternType="none">
          <bgColor indexed="6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4.9989318521683403E-2"/>
      </font>
      <fill>
        <patternFill patternType="none">
          <bgColor indexed="65"/>
        </patternFill>
      </fill>
    </dxf>
    <dxf>
      <font>
        <color theme="0" tint="-0.14996795556505021"/>
      </font>
      <fill>
        <patternFill patternType="solid">
          <bgColor theme="0" tint="-0.14996795556505021"/>
        </patternFill>
      </fill>
    </dxf>
    <dxf>
      <font>
        <color theme="0" tint="-4.9989318521683403E-2"/>
      </font>
      <fill>
        <patternFill patternType="none">
          <bgColor indexed="6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4.9989318521683403E-2"/>
      </font>
      <fill>
        <patternFill patternType="none">
          <bgColor indexed="65"/>
        </patternFill>
      </fill>
    </dxf>
    <dxf>
      <font>
        <color theme="0" tint="-4.9989318521683403E-2"/>
      </font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 tint="-4.9989318521683403E-2"/>
      </font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 tint="-4.9989318521683403E-2"/>
      </font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 tint="-4.9989318521683403E-2"/>
      </font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 tint="-4.9989318521683403E-2"/>
      </font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 tint="-4.9989318521683403E-2"/>
      </font>
      <border>
        <left/>
        <right/>
        <top/>
        <bottom/>
      </border>
    </dxf>
    <dxf>
      <font>
        <color theme="0" tint="-4.9989318521683403E-2"/>
      </font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 tint="-4.9989318521683403E-2"/>
      </font>
      <border>
        <right/>
        <top/>
        <bottom/>
      </border>
    </dxf>
    <dxf>
      <font>
        <color theme="0" tint="-4.9989318521683403E-2"/>
      </font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 tint="-4.9989318521683403E-2"/>
      </font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 tint="-4.9989318521683403E-2"/>
      </font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 tint="-4.9989318521683403E-2"/>
      </font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 tint="-4.9989318521683403E-2"/>
      </font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 tint="-4.9989318521683403E-2"/>
      </font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 tint="-4.9989318521683403E-2"/>
      </font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 tint="-4.9989318521683403E-2"/>
      </font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 tint="-4.9989318521683403E-2"/>
      </font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 tint="-4.9989318521683403E-2"/>
      </font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 tint="-4.9989318521683403E-2"/>
      </font>
      <fill>
        <patternFill patternType="none">
          <bgColor indexed="65"/>
        </patternFill>
      </fill>
      <border>
        <left/>
        <right/>
        <top/>
        <bottom/>
      </border>
    </dxf>
    <dxf>
      <font>
        <color auto="1"/>
      </font>
      <fill>
        <patternFill>
          <bgColor theme="9" tint="0.79998168889431442"/>
        </patternFill>
      </fill>
    </dxf>
    <dxf>
      <font>
        <color theme="0" tint="-4.9989318521683403E-2"/>
      </font>
      <fill>
        <patternFill patternType="none">
          <bgColor indexed="65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theme="0" tint="-4.9989318521683403E-2"/>
      </font>
      <fill>
        <patternFill patternType="none">
          <bgColor indexed="65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border>
        <right/>
      </border>
    </dxf>
    <dxf>
      <border>
        <right/>
      </border>
    </dxf>
    <dxf>
      <border>
        <right/>
      </border>
    </dxf>
    <dxf>
      <border>
        <right/>
      </border>
    </dxf>
    <dxf>
      <border>
        <right/>
      </border>
    </dxf>
    <dxf>
      <font>
        <color theme="0" tint="-0.14996795556505021"/>
      </font>
      <fill>
        <patternFill>
          <bgColor theme="0" tint="-0.14996795556505021"/>
        </patternFill>
      </fill>
    </dxf>
    <dxf>
      <border>
        <right/>
      </border>
    </dxf>
    <dxf>
      <font>
        <color theme="0" tint="-0.14996795556505021"/>
      </font>
      <fill>
        <patternFill>
          <bgColor theme="0" tint="-0.14996795556505021"/>
        </patternFill>
      </fill>
    </dxf>
    <dxf>
      <border>
        <right/>
      </border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border>
        <right/>
      </border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border>
        <right/>
      </border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border>
        <right/>
      </border>
    </dxf>
    <dxf>
      <font>
        <color theme="0" tint="-0.14996795556505021"/>
      </font>
      <fill>
        <patternFill>
          <bgColor theme="0" tint="-0.14996795556505021"/>
        </patternFill>
      </fill>
    </dxf>
    <dxf>
      <border>
        <right/>
      </border>
    </dxf>
    <dxf>
      <font>
        <color theme="0" tint="-0.14996795556505021"/>
      </font>
      <fill>
        <patternFill>
          <bgColor theme="0" tint="-0.14996795556505021"/>
        </patternFill>
      </fill>
    </dxf>
    <dxf>
      <border>
        <right/>
      </border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border>
        <right/>
      </border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  <border>
        <left/>
        <right/>
      </border>
    </dxf>
    <dxf>
      <border>
        <right/>
      </border>
    </dxf>
    <dxf>
      <border>
        <right/>
      </border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border>
        <bottom style="thin">
          <color theme="0" tint="-0.499984740745262"/>
        </bottom>
      </border>
    </dxf>
    <dxf>
      <fill>
        <patternFill patternType="none">
          <bgColor indexed="65"/>
        </patternFill>
      </fill>
      <border>
        <right/>
        <top/>
        <bottom/>
      </border>
    </dxf>
    <dxf>
      <fill>
        <patternFill patternType="none">
          <bgColor indexed="65"/>
        </patternFill>
      </fill>
      <border>
        <left/>
        <top/>
        <bottom/>
      </border>
    </dxf>
    <dxf>
      <border>
        <bottom style="thin">
          <color theme="0" tint="-0.499984740745262"/>
        </bottom>
      </border>
    </dxf>
    <dxf>
      <fill>
        <patternFill patternType="none">
          <bgColor indexed="65"/>
        </patternFill>
      </fill>
      <border>
        <left/>
        <top/>
        <bottom/>
      </border>
    </dxf>
    <dxf>
      <fill>
        <patternFill patternType="none">
          <bgColor indexed="65"/>
        </patternFill>
      </fill>
      <border>
        <right/>
        <top/>
        <bottom/>
      </border>
    </dxf>
    <dxf>
      <fill>
        <patternFill patternType="none">
          <bgColor indexed="65"/>
        </patternFill>
      </fill>
      <border>
        <left/>
        <top/>
        <bottom/>
      </border>
    </dxf>
    <dxf>
      <fill>
        <patternFill patternType="none">
          <bgColor indexed="65"/>
        </patternFill>
      </fill>
      <border>
        <right/>
        <top/>
        <bottom/>
      </border>
    </dxf>
    <dxf>
      <fill>
        <patternFill patternType="none">
          <bgColor indexed="65"/>
        </patternFill>
      </fill>
      <border>
        <left/>
        <top/>
        <bottom/>
      </border>
    </dxf>
    <dxf>
      <fill>
        <patternFill patternType="none">
          <bgColor indexed="65"/>
        </patternFill>
      </fill>
      <border>
        <right/>
        <top/>
        <bottom/>
      </border>
    </dxf>
    <dxf>
      <border>
        <bottom style="thin">
          <color theme="0" tint="-0.499984740745262"/>
        </bottom>
      </border>
    </dxf>
    <dxf>
      <fill>
        <patternFill patternType="none">
          <bgColor indexed="65"/>
        </patternFill>
      </fill>
      <border>
        <left/>
        <top/>
        <bottom/>
      </border>
    </dxf>
    <dxf>
      <fill>
        <patternFill patternType="none">
          <bgColor indexed="65"/>
        </patternFill>
      </fill>
      <border>
        <right/>
        <top/>
        <bottom/>
      </border>
    </dxf>
    <dxf>
      <border>
        <bottom style="thin">
          <color theme="0" tint="-0.499984740745262"/>
        </bottom>
      </border>
    </dxf>
    <dxf>
      <border>
        <bottom style="thin">
          <color theme="0" tint="-0.499984740745262"/>
        </bottom>
      </border>
    </dxf>
    <dxf>
      <border>
        <bottom style="thin">
          <color theme="0" tint="-0.499984740745262"/>
        </bottom>
      </border>
    </dxf>
    <dxf>
      <border>
        <bottom style="thin">
          <color theme="0" tint="-0.499984740745262"/>
        </bottom>
      </border>
    </dxf>
    <dxf>
      <fill>
        <patternFill patternType="none">
          <bgColor indexed="65"/>
        </patternFill>
      </fill>
      <border>
        <left/>
      </border>
    </dxf>
    <dxf>
      <fill>
        <patternFill patternType="none">
          <bgColor indexed="65"/>
        </patternFill>
      </fill>
      <border>
        <left/>
      </border>
    </dxf>
    <dxf>
      <fill>
        <patternFill patternType="none">
          <bgColor indexed="65"/>
        </patternFill>
      </fill>
      <border>
        <left/>
      </border>
    </dxf>
    <dxf>
      <fill>
        <patternFill patternType="none">
          <bgColor indexed="65"/>
        </patternFill>
      </fill>
      <border>
        <left/>
      </border>
    </dxf>
    <dxf>
      <fill>
        <patternFill patternType="none">
          <bgColor indexed="65"/>
        </patternFill>
      </fill>
      <border>
        <right/>
        <top/>
      </border>
    </dxf>
    <dxf>
      <fill>
        <patternFill patternType="none">
          <bgColor indexed="65"/>
        </patternFill>
      </fill>
      <border>
        <right/>
        <top/>
      </border>
    </dxf>
    <dxf>
      <fill>
        <patternFill patternType="none">
          <bgColor indexed="65"/>
        </patternFill>
      </fill>
      <border>
        <right/>
        <top/>
      </border>
    </dxf>
    <dxf>
      <fill>
        <patternFill patternType="none">
          <bgColor indexed="65"/>
        </patternFill>
      </fill>
      <border>
        <right/>
        <top/>
      </border>
    </dxf>
    <dxf>
      <border>
        <top style="thin">
          <color theme="0" tint="-0.499984740745262"/>
        </top>
      </border>
    </dxf>
    <dxf>
      <fill>
        <patternFill patternType="none">
          <bgColor indexed="65"/>
        </patternFill>
      </fill>
      <border>
        <left/>
        <right/>
        <top/>
      </border>
    </dxf>
    <dxf>
      <fill>
        <patternFill patternType="none">
          <bgColor indexed="65"/>
        </patternFill>
      </fill>
      <border>
        <left/>
        <right/>
        <top/>
      </border>
    </dxf>
    <dxf>
      <fill>
        <patternFill patternType="none">
          <bgColor indexed="65"/>
        </patternFill>
      </fill>
      <border>
        <left/>
        <right/>
        <top/>
      </border>
    </dxf>
    <dxf>
      <fill>
        <patternFill patternType="none">
          <bgColor indexed="65"/>
        </patternFill>
      </fill>
      <border>
        <left/>
        <right/>
        <top/>
      </border>
    </dxf>
    <dxf>
      <fill>
        <patternFill patternType="none">
          <bgColor indexed="65"/>
        </patternFill>
      </fill>
      <border>
        <left/>
        <right/>
        <top/>
      </border>
    </dxf>
    <dxf>
      <border>
        <top style="thin">
          <color theme="0" tint="-0.499984740745262"/>
        </top>
      </border>
    </dxf>
    <dxf>
      <fill>
        <patternFill patternType="none">
          <bgColor indexed="65"/>
        </patternFill>
      </fill>
      <border>
        <left/>
        <right/>
        <top/>
      </border>
    </dxf>
    <dxf>
      <border>
        <left style="thin">
          <color theme="0" tint="-0.499984740745262"/>
        </left>
        <top style="thin">
          <color theme="0" tint="-0.499984740745262"/>
        </top>
      </border>
    </dxf>
    <dxf>
      <border>
        <top style="thin">
          <color theme="0" tint="-0.499984740745262"/>
        </top>
      </border>
    </dxf>
    <dxf>
      <fill>
        <patternFill patternType="none">
          <bgColor indexed="65"/>
        </patternFill>
      </fill>
      <border>
        <left/>
        <right/>
        <top/>
      </border>
    </dxf>
    <dxf>
      <border>
        <right style="thin">
          <color theme="0" tint="-0.499984740745262"/>
        </right>
        <top style="thin">
          <color theme="0" tint="-0.499984740745262"/>
        </top>
      </border>
    </dxf>
    <dxf>
      <border>
        <top style="thin">
          <color theme="0" tint="-0.499984740745262"/>
        </top>
      </border>
    </dxf>
    <dxf>
      <fill>
        <patternFill patternType="none">
          <bgColor indexed="65"/>
        </patternFill>
      </fill>
      <border>
        <left/>
        <right/>
        <top/>
      </border>
    </dxf>
    <dxf>
      <fill>
        <patternFill>
          <bgColor theme="0" tint="-0.14996795556505021"/>
        </patternFill>
      </fill>
      <border>
        <left style="thin">
          <color theme="0" tint="-0.499984740745262"/>
        </left>
        <top style="thin">
          <color theme="0" tint="-0.499984740745262"/>
        </top>
      </border>
    </dxf>
    <dxf>
      <fill>
        <patternFill>
          <bgColor theme="0" tint="-0.14996795556505021"/>
        </patternFill>
      </fill>
      <border>
        <left/>
        <right/>
        <top style="thin">
          <color theme="0" tint="-0.499984740745262"/>
        </top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 tint="-4.9989318521683403E-2"/>
      </font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 tint="-4.9989318521683403E-2"/>
      </font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 tint="-4.9989318521683403E-2"/>
      </font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 tint="-4.9989318521683403E-2"/>
      </font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 tint="-4.9989318521683403E-2"/>
      </font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 tint="-4.9989318521683403E-2"/>
      </font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 tint="-4.9989318521683403E-2"/>
      </font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 tint="-4.9989318521683403E-2"/>
      </font>
      <fill>
        <patternFill patternType="none">
          <fgColor indexed="64"/>
          <bgColor indexed="65"/>
        </patternFill>
      </fill>
    </dxf>
    <dxf>
      <font>
        <color theme="0" tint="-4.9989318521683403E-2"/>
      </font>
      <fill>
        <patternFill patternType="none">
          <fgColor indexed="64"/>
          <bgColor indexed="65"/>
        </patternFill>
      </fill>
    </dxf>
    <dxf>
      <font>
        <color theme="0" tint="-4.9989318521683403E-2"/>
      </font>
      <fill>
        <patternFill patternType="none">
          <fgColor indexed="64"/>
          <bgColor indexed="65"/>
        </patternFill>
      </fill>
    </dxf>
    <dxf>
      <font>
        <color theme="0" tint="-4.9989318521683403E-2"/>
      </font>
      <fill>
        <patternFill patternType="none">
          <fgColor indexed="64"/>
          <bgColor indexed="65"/>
        </patternFill>
      </fill>
    </dxf>
    <dxf>
      <font>
        <color theme="0" tint="-4.9989318521683403E-2"/>
      </font>
      <fill>
        <patternFill patternType="none">
          <fgColor indexed="64"/>
          <bgColor indexed="65"/>
        </patternFill>
      </fill>
    </dxf>
    <dxf>
      <font>
        <color theme="0" tint="-4.9989318521683403E-2"/>
      </font>
      <fill>
        <patternFill patternType="none">
          <fgColor indexed="64"/>
          <bgColor indexed="65"/>
        </patternFill>
      </fill>
    </dxf>
    <dxf>
      <font>
        <color theme="0" tint="-4.9989318521683403E-2"/>
      </font>
      <fill>
        <patternFill patternType="none">
          <fgColor indexed="64"/>
          <bgColor indexed="65"/>
        </patternFill>
      </fill>
    </dxf>
    <dxf>
      <font>
        <color theme="0" tint="-4.9989318521683403E-2"/>
      </font>
      <fill>
        <patternFill patternType="none">
          <fgColor indexed="64"/>
          <bgColor indexed="65"/>
        </patternFill>
      </fill>
    </dxf>
    <dxf>
      <font>
        <color theme="0" tint="-4.9989318521683403E-2"/>
      </font>
      <fill>
        <patternFill patternType="none">
          <fgColor indexed="64"/>
          <bgColor indexed="65"/>
        </patternFill>
      </fill>
    </dxf>
    <dxf>
      <font>
        <color theme="0" tint="-4.9989318521683403E-2"/>
      </font>
      <fill>
        <patternFill patternType="none">
          <fgColor indexed="64"/>
          <bgColor indexed="65"/>
        </patternFill>
      </fill>
    </dxf>
    <dxf>
      <font>
        <color theme="0" tint="-4.9989318521683403E-2"/>
      </font>
      <fill>
        <patternFill patternType="none">
          <fgColor indexed="64"/>
          <bgColor indexed="65"/>
        </patternFill>
      </fill>
    </dxf>
    <dxf>
      <font>
        <color theme="0" tint="-4.9989318521683403E-2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12" Type="http://schemas.openxmlformats.org/officeDocument/2006/relationships/image" Target="../media/image1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104775</xdr:colOff>
      <xdr:row>15</xdr:row>
      <xdr:rowOff>28575</xdr:rowOff>
    </xdr:from>
    <xdr:to>
      <xdr:col>19</xdr:col>
      <xdr:colOff>0</xdr:colOff>
      <xdr:row>15</xdr:row>
      <xdr:rowOff>28575</xdr:rowOff>
    </xdr:to>
    <xdr:sp macro="" textlink="">
      <xdr:nvSpPr>
        <xdr:cNvPr id="719626" name="Line 35">
          <a:extLst>
            <a:ext uri="{FF2B5EF4-FFF2-40B4-BE49-F238E27FC236}">
              <a16:creationId xmlns:a16="http://schemas.microsoft.com/office/drawing/2014/main" id="{00000000-0008-0000-0000-00000AFB0A00}"/>
            </a:ext>
          </a:extLst>
        </xdr:cNvPr>
        <xdr:cNvSpPr>
          <a:spLocks noChangeShapeType="1"/>
        </xdr:cNvSpPr>
      </xdr:nvSpPr>
      <xdr:spPr bwMode="auto">
        <a:xfrm>
          <a:off x="523875" y="2457450"/>
          <a:ext cx="50863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15</xdr:row>
      <xdr:rowOff>0</xdr:rowOff>
    </xdr:from>
    <xdr:to>
      <xdr:col>5</xdr:col>
      <xdr:colOff>85725</xdr:colOff>
      <xdr:row>15</xdr:row>
      <xdr:rowOff>28575</xdr:rowOff>
    </xdr:to>
    <xdr:sp macro="" textlink="">
      <xdr:nvSpPr>
        <xdr:cNvPr id="719627" name="Line 37">
          <a:extLst>
            <a:ext uri="{FF2B5EF4-FFF2-40B4-BE49-F238E27FC236}">
              <a16:creationId xmlns:a16="http://schemas.microsoft.com/office/drawing/2014/main" id="{00000000-0008-0000-0000-00000BFB0A00}"/>
            </a:ext>
          </a:extLst>
        </xdr:cNvPr>
        <xdr:cNvSpPr>
          <a:spLocks noChangeShapeType="1"/>
        </xdr:cNvSpPr>
      </xdr:nvSpPr>
      <xdr:spPr bwMode="auto">
        <a:xfrm flipV="1">
          <a:off x="533400" y="2428875"/>
          <a:ext cx="85725" cy="28575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104775</xdr:colOff>
      <xdr:row>14</xdr:row>
      <xdr:rowOff>200025</xdr:rowOff>
    </xdr:from>
    <xdr:to>
      <xdr:col>4</xdr:col>
      <xdr:colOff>104775</xdr:colOff>
      <xdr:row>15</xdr:row>
      <xdr:rowOff>66675</xdr:rowOff>
    </xdr:to>
    <xdr:sp macro="" textlink="">
      <xdr:nvSpPr>
        <xdr:cNvPr id="719628" name="Line 38">
          <a:extLst>
            <a:ext uri="{FF2B5EF4-FFF2-40B4-BE49-F238E27FC236}">
              <a16:creationId xmlns:a16="http://schemas.microsoft.com/office/drawing/2014/main" id="{00000000-0008-0000-0000-00000CFB0A00}"/>
            </a:ext>
          </a:extLst>
        </xdr:cNvPr>
        <xdr:cNvSpPr>
          <a:spLocks noChangeShapeType="1"/>
        </xdr:cNvSpPr>
      </xdr:nvSpPr>
      <xdr:spPr bwMode="auto">
        <a:xfrm flipH="1">
          <a:off x="523875" y="2419350"/>
          <a:ext cx="0" cy="762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447675</xdr:colOff>
      <xdr:row>14</xdr:row>
      <xdr:rowOff>57150</xdr:rowOff>
    </xdr:from>
    <xdr:to>
      <xdr:col>14</xdr:col>
      <xdr:colOff>523875</xdr:colOff>
      <xdr:row>15</xdr:row>
      <xdr:rowOff>9525</xdr:rowOff>
    </xdr:to>
    <xdr:sp macro="" textlink="">
      <xdr:nvSpPr>
        <xdr:cNvPr id="1084" name="WordArt 60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4010025" y="2295525"/>
          <a:ext cx="76200" cy="16192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endParaRPr lang="pt-PT" sz="100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FFFFFF"/>
            </a:solidFill>
            <a:effectLst/>
            <a:latin typeface="Symbol"/>
          </a:endParaRPr>
        </a:p>
      </xdr:txBody>
    </xdr:sp>
    <xdr:clientData/>
  </xdr:twoCellAnchor>
  <xdr:twoCellAnchor>
    <xdr:from>
      <xdr:col>23</xdr:col>
      <xdr:colOff>0</xdr:colOff>
      <xdr:row>16</xdr:row>
      <xdr:rowOff>38100</xdr:rowOff>
    </xdr:from>
    <xdr:to>
      <xdr:col>37</xdr:col>
      <xdr:colOff>38100</xdr:colOff>
      <xdr:row>16</xdr:row>
      <xdr:rowOff>38100</xdr:rowOff>
    </xdr:to>
    <xdr:sp macro="" textlink="">
      <xdr:nvSpPr>
        <xdr:cNvPr id="719630" name="Line 67">
          <a:extLst>
            <a:ext uri="{FF2B5EF4-FFF2-40B4-BE49-F238E27FC236}">
              <a16:creationId xmlns:a16="http://schemas.microsoft.com/office/drawing/2014/main" id="{00000000-0008-0000-0000-00000EFB0A00}"/>
            </a:ext>
          </a:extLst>
        </xdr:cNvPr>
        <xdr:cNvSpPr>
          <a:spLocks noChangeShapeType="1"/>
        </xdr:cNvSpPr>
      </xdr:nvSpPr>
      <xdr:spPr bwMode="auto">
        <a:xfrm>
          <a:off x="6276975" y="2676525"/>
          <a:ext cx="437197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28</xdr:col>
      <xdr:colOff>214993</xdr:colOff>
      <xdr:row>14</xdr:row>
      <xdr:rowOff>0</xdr:rowOff>
    </xdr:from>
    <xdr:to>
      <xdr:col>29</xdr:col>
      <xdr:colOff>5443</xdr:colOff>
      <xdr:row>14</xdr:row>
      <xdr:rowOff>76200</xdr:rowOff>
    </xdr:to>
    <xdr:sp macro="" textlink="">
      <xdr:nvSpPr>
        <xdr:cNvPr id="719631" name="Line 110">
          <a:extLst>
            <a:ext uri="{FF2B5EF4-FFF2-40B4-BE49-F238E27FC236}">
              <a16:creationId xmlns:a16="http://schemas.microsoft.com/office/drawing/2014/main" id="{00000000-0008-0000-0000-00000FFB0A00}"/>
            </a:ext>
          </a:extLst>
        </xdr:cNvPr>
        <xdr:cNvSpPr>
          <a:spLocks noChangeShapeType="1"/>
        </xdr:cNvSpPr>
      </xdr:nvSpPr>
      <xdr:spPr bwMode="auto">
        <a:xfrm flipV="1">
          <a:off x="8343900" y="2219325"/>
          <a:ext cx="76200" cy="76200"/>
        </a:xfrm>
        <a:prstGeom prst="line">
          <a:avLst/>
        </a:prstGeom>
        <a:noFill/>
        <a:ln w="15875">
          <a:solidFill>
            <a:srgbClr val="C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342900</xdr:colOff>
      <xdr:row>13</xdr:row>
      <xdr:rowOff>0</xdr:rowOff>
    </xdr:from>
    <xdr:to>
      <xdr:col>9</xdr:col>
      <xdr:colOff>428625</xdr:colOff>
      <xdr:row>13</xdr:row>
      <xdr:rowOff>66675</xdr:rowOff>
    </xdr:to>
    <xdr:sp macro="" textlink="">
      <xdr:nvSpPr>
        <xdr:cNvPr id="719632" name="Line 112">
          <a:extLst>
            <a:ext uri="{FF2B5EF4-FFF2-40B4-BE49-F238E27FC236}">
              <a16:creationId xmlns:a16="http://schemas.microsoft.com/office/drawing/2014/main" id="{00000000-0008-0000-0000-000010FB0A00}"/>
            </a:ext>
          </a:extLst>
        </xdr:cNvPr>
        <xdr:cNvSpPr>
          <a:spLocks noChangeShapeType="1"/>
        </xdr:cNvSpPr>
      </xdr:nvSpPr>
      <xdr:spPr bwMode="auto">
        <a:xfrm>
          <a:off x="2219325" y="2105025"/>
          <a:ext cx="85725" cy="66675"/>
        </a:xfrm>
        <a:prstGeom prst="line">
          <a:avLst/>
        </a:prstGeom>
        <a:noFill/>
        <a:ln w="15875">
          <a:solidFill>
            <a:srgbClr val="C00000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14</xdr:col>
      <xdr:colOff>28575</xdr:colOff>
      <xdr:row>12</xdr:row>
      <xdr:rowOff>123825</xdr:rowOff>
    </xdr:from>
    <xdr:to>
      <xdr:col>14</xdr:col>
      <xdr:colOff>95250</xdr:colOff>
      <xdr:row>13</xdr:row>
      <xdr:rowOff>66675</xdr:rowOff>
    </xdr:to>
    <xdr:sp macro="" textlink="">
      <xdr:nvSpPr>
        <xdr:cNvPr id="719633" name="Line 113">
          <a:extLst>
            <a:ext uri="{FF2B5EF4-FFF2-40B4-BE49-F238E27FC236}">
              <a16:creationId xmlns:a16="http://schemas.microsoft.com/office/drawing/2014/main" id="{00000000-0008-0000-0000-000011FB0A00}"/>
            </a:ext>
          </a:extLst>
        </xdr:cNvPr>
        <xdr:cNvSpPr>
          <a:spLocks noChangeShapeType="1"/>
        </xdr:cNvSpPr>
      </xdr:nvSpPr>
      <xdr:spPr bwMode="auto">
        <a:xfrm flipH="1">
          <a:off x="3800475" y="2105025"/>
          <a:ext cx="66675" cy="66675"/>
        </a:xfrm>
        <a:prstGeom prst="line">
          <a:avLst/>
        </a:prstGeom>
        <a:noFill/>
        <a:ln w="15875">
          <a:solidFill>
            <a:srgbClr val="C00000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9</xdr:col>
      <xdr:colOff>333375</xdr:colOff>
      <xdr:row>10</xdr:row>
      <xdr:rowOff>142875</xdr:rowOff>
    </xdr:from>
    <xdr:to>
      <xdr:col>9</xdr:col>
      <xdr:colOff>333375</xdr:colOff>
      <xdr:row>11</xdr:row>
      <xdr:rowOff>152400</xdr:rowOff>
    </xdr:to>
    <xdr:sp macro="" textlink="">
      <xdr:nvSpPr>
        <xdr:cNvPr id="719634" name="Line 115">
          <a:extLst>
            <a:ext uri="{FF2B5EF4-FFF2-40B4-BE49-F238E27FC236}">
              <a16:creationId xmlns:a16="http://schemas.microsoft.com/office/drawing/2014/main" id="{00000000-0008-0000-0000-000012FB0A00}"/>
            </a:ext>
          </a:extLst>
        </xdr:cNvPr>
        <xdr:cNvSpPr>
          <a:spLocks noChangeShapeType="1"/>
        </xdr:cNvSpPr>
      </xdr:nvSpPr>
      <xdr:spPr bwMode="auto">
        <a:xfrm flipV="1">
          <a:off x="2209800" y="1809750"/>
          <a:ext cx="0" cy="171450"/>
        </a:xfrm>
        <a:prstGeom prst="line">
          <a:avLst/>
        </a:prstGeom>
        <a:noFill/>
        <a:ln w="6350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14</xdr:col>
      <xdr:colOff>95250</xdr:colOff>
      <xdr:row>10</xdr:row>
      <xdr:rowOff>142875</xdr:rowOff>
    </xdr:from>
    <xdr:to>
      <xdr:col>14</xdr:col>
      <xdr:colOff>95250</xdr:colOff>
      <xdr:row>12</xdr:row>
      <xdr:rowOff>0</xdr:rowOff>
    </xdr:to>
    <xdr:sp macro="" textlink="">
      <xdr:nvSpPr>
        <xdr:cNvPr id="719635" name="Line 118">
          <a:extLst>
            <a:ext uri="{FF2B5EF4-FFF2-40B4-BE49-F238E27FC236}">
              <a16:creationId xmlns:a16="http://schemas.microsoft.com/office/drawing/2014/main" id="{00000000-0008-0000-0000-000013FB0A00}"/>
            </a:ext>
          </a:extLst>
        </xdr:cNvPr>
        <xdr:cNvSpPr>
          <a:spLocks noChangeShapeType="1"/>
        </xdr:cNvSpPr>
      </xdr:nvSpPr>
      <xdr:spPr bwMode="auto">
        <a:xfrm flipV="1">
          <a:off x="3867150" y="1809750"/>
          <a:ext cx="0" cy="180975"/>
        </a:xfrm>
        <a:prstGeom prst="line">
          <a:avLst/>
        </a:prstGeom>
        <a:noFill/>
        <a:ln w="6350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27</xdr:col>
      <xdr:colOff>342900</xdr:colOff>
      <xdr:row>10</xdr:row>
      <xdr:rowOff>142875</xdr:rowOff>
    </xdr:from>
    <xdr:to>
      <xdr:col>27</xdr:col>
      <xdr:colOff>342900</xdr:colOff>
      <xdr:row>13</xdr:row>
      <xdr:rowOff>0</xdr:rowOff>
    </xdr:to>
    <xdr:sp macro="" textlink="">
      <xdr:nvSpPr>
        <xdr:cNvPr id="719636" name="Line 120">
          <a:extLst>
            <a:ext uri="{FF2B5EF4-FFF2-40B4-BE49-F238E27FC236}">
              <a16:creationId xmlns:a16="http://schemas.microsoft.com/office/drawing/2014/main" id="{00000000-0008-0000-0000-000014FB0A00}"/>
            </a:ext>
          </a:extLst>
        </xdr:cNvPr>
        <xdr:cNvSpPr>
          <a:spLocks noChangeShapeType="1"/>
        </xdr:cNvSpPr>
      </xdr:nvSpPr>
      <xdr:spPr bwMode="auto">
        <a:xfrm>
          <a:off x="7772400" y="1809750"/>
          <a:ext cx="0" cy="295275"/>
        </a:xfrm>
        <a:prstGeom prst="line">
          <a:avLst/>
        </a:prstGeom>
        <a:noFill/>
        <a:ln w="6350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27</xdr:col>
      <xdr:colOff>342900</xdr:colOff>
      <xdr:row>14</xdr:row>
      <xdr:rowOff>0</xdr:rowOff>
    </xdr:from>
    <xdr:to>
      <xdr:col>27</xdr:col>
      <xdr:colOff>428625</xdr:colOff>
      <xdr:row>14</xdr:row>
      <xdr:rowOff>66675</xdr:rowOff>
    </xdr:to>
    <xdr:sp macro="" textlink="">
      <xdr:nvSpPr>
        <xdr:cNvPr id="719637" name="Line 122">
          <a:extLst>
            <a:ext uri="{FF2B5EF4-FFF2-40B4-BE49-F238E27FC236}">
              <a16:creationId xmlns:a16="http://schemas.microsoft.com/office/drawing/2014/main" id="{00000000-0008-0000-0000-000015FB0A00}"/>
            </a:ext>
          </a:extLst>
        </xdr:cNvPr>
        <xdr:cNvSpPr>
          <a:spLocks noChangeShapeType="1"/>
        </xdr:cNvSpPr>
      </xdr:nvSpPr>
      <xdr:spPr bwMode="auto">
        <a:xfrm>
          <a:off x="7772400" y="2219325"/>
          <a:ext cx="85725" cy="66675"/>
        </a:xfrm>
        <a:prstGeom prst="line">
          <a:avLst/>
        </a:prstGeom>
        <a:noFill/>
        <a:ln w="15875">
          <a:solidFill>
            <a:srgbClr val="C00000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32</xdr:col>
      <xdr:colOff>9525</xdr:colOff>
      <xdr:row>10</xdr:row>
      <xdr:rowOff>114300</xdr:rowOff>
    </xdr:from>
    <xdr:to>
      <xdr:col>32</xdr:col>
      <xdr:colOff>9525</xdr:colOff>
      <xdr:row>12</xdr:row>
      <xdr:rowOff>114300</xdr:rowOff>
    </xdr:to>
    <xdr:sp macro="" textlink="">
      <xdr:nvSpPr>
        <xdr:cNvPr id="719638" name="Line 125">
          <a:extLst>
            <a:ext uri="{FF2B5EF4-FFF2-40B4-BE49-F238E27FC236}">
              <a16:creationId xmlns:a16="http://schemas.microsoft.com/office/drawing/2014/main" id="{00000000-0008-0000-0000-000016FB0A00}"/>
            </a:ext>
          </a:extLst>
        </xdr:cNvPr>
        <xdr:cNvSpPr>
          <a:spLocks noChangeShapeType="1"/>
        </xdr:cNvSpPr>
      </xdr:nvSpPr>
      <xdr:spPr bwMode="auto">
        <a:xfrm>
          <a:off x="9153525" y="1781175"/>
          <a:ext cx="0" cy="323850"/>
        </a:xfrm>
        <a:prstGeom prst="line">
          <a:avLst/>
        </a:prstGeom>
        <a:noFill/>
        <a:ln w="6350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40</xdr:col>
      <xdr:colOff>142875</xdr:colOff>
      <xdr:row>15</xdr:row>
      <xdr:rowOff>28575</xdr:rowOff>
    </xdr:from>
    <xdr:to>
      <xdr:col>55</xdr:col>
      <xdr:colOff>0</xdr:colOff>
      <xdr:row>15</xdr:row>
      <xdr:rowOff>28575</xdr:rowOff>
    </xdr:to>
    <xdr:sp macro="" textlink="">
      <xdr:nvSpPr>
        <xdr:cNvPr id="719639" name="Line 206">
          <a:extLst>
            <a:ext uri="{FF2B5EF4-FFF2-40B4-BE49-F238E27FC236}">
              <a16:creationId xmlns:a16="http://schemas.microsoft.com/office/drawing/2014/main" id="{00000000-0008-0000-0000-000017FB0A00}"/>
            </a:ext>
          </a:extLst>
        </xdr:cNvPr>
        <xdr:cNvSpPr>
          <a:spLocks noChangeShapeType="1"/>
        </xdr:cNvSpPr>
      </xdr:nvSpPr>
      <xdr:spPr bwMode="auto">
        <a:xfrm>
          <a:off x="11229975" y="2457450"/>
          <a:ext cx="46101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142875</xdr:colOff>
      <xdr:row>16</xdr:row>
      <xdr:rowOff>38100</xdr:rowOff>
    </xdr:from>
    <xdr:to>
      <xdr:col>73</xdr:col>
      <xdr:colOff>38100</xdr:colOff>
      <xdr:row>16</xdr:row>
      <xdr:rowOff>38100</xdr:rowOff>
    </xdr:to>
    <xdr:sp macro="" textlink="">
      <xdr:nvSpPr>
        <xdr:cNvPr id="719640" name="Line 217">
          <a:extLst>
            <a:ext uri="{FF2B5EF4-FFF2-40B4-BE49-F238E27FC236}">
              <a16:creationId xmlns:a16="http://schemas.microsoft.com/office/drawing/2014/main" id="{00000000-0008-0000-0000-000018FB0A00}"/>
            </a:ext>
          </a:extLst>
        </xdr:cNvPr>
        <xdr:cNvSpPr>
          <a:spLocks noChangeShapeType="1"/>
        </xdr:cNvSpPr>
      </xdr:nvSpPr>
      <xdr:spPr bwMode="auto">
        <a:xfrm>
          <a:off x="16440150" y="2676525"/>
          <a:ext cx="471487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342900</xdr:colOff>
      <xdr:row>13</xdr:row>
      <xdr:rowOff>0</xdr:rowOff>
    </xdr:from>
    <xdr:to>
      <xdr:col>45</xdr:col>
      <xdr:colOff>428625</xdr:colOff>
      <xdr:row>13</xdr:row>
      <xdr:rowOff>66675</xdr:rowOff>
    </xdr:to>
    <xdr:sp macro="" textlink="">
      <xdr:nvSpPr>
        <xdr:cNvPr id="719641" name="Line 252">
          <a:extLst>
            <a:ext uri="{FF2B5EF4-FFF2-40B4-BE49-F238E27FC236}">
              <a16:creationId xmlns:a16="http://schemas.microsoft.com/office/drawing/2014/main" id="{00000000-0008-0000-0000-000019FB0A00}"/>
            </a:ext>
          </a:extLst>
        </xdr:cNvPr>
        <xdr:cNvSpPr>
          <a:spLocks noChangeShapeType="1"/>
        </xdr:cNvSpPr>
      </xdr:nvSpPr>
      <xdr:spPr bwMode="auto">
        <a:xfrm>
          <a:off x="12725400" y="2105025"/>
          <a:ext cx="85725" cy="66675"/>
        </a:xfrm>
        <a:prstGeom prst="line">
          <a:avLst/>
        </a:prstGeom>
        <a:noFill/>
        <a:ln w="15875">
          <a:solidFill>
            <a:srgbClr val="C00000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50</xdr:col>
      <xdr:colOff>9525</xdr:colOff>
      <xdr:row>13</xdr:row>
      <xdr:rowOff>9525</xdr:rowOff>
    </xdr:from>
    <xdr:to>
      <xdr:col>50</xdr:col>
      <xdr:colOff>76200</xdr:colOff>
      <xdr:row>13</xdr:row>
      <xdr:rowOff>76200</xdr:rowOff>
    </xdr:to>
    <xdr:sp macro="" textlink="">
      <xdr:nvSpPr>
        <xdr:cNvPr id="719642" name="Line 253">
          <a:extLst>
            <a:ext uri="{FF2B5EF4-FFF2-40B4-BE49-F238E27FC236}">
              <a16:creationId xmlns:a16="http://schemas.microsoft.com/office/drawing/2014/main" id="{00000000-0008-0000-0000-00001AFB0A00}"/>
            </a:ext>
          </a:extLst>
        </xdr:cNvPr>
        <xdr:cNvSpPr>
          <a:spLocks noChangeShapeType="1"/>
        </xdr:cNvSpPr>
      </xdr:nvSpPr>
      <xdr:spPr bwMode="auto">
        <a:xfrm flipH="1">
          <a:off x="14287500" y="2114550"/>
          <a:ext cx="66675" cy="66675"/>
        </a:xfrm>
        <a:prstGeom prst="line">
          <a:avLst/>
        </a:prstGeom>
        <a:noFill/>
        <a:ln w="15875">
          <a:solidFill>
            <a:srgbClr val="C00000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45</xdr:col>
      <xdr:colOff>333375</xdr:colOff>
      <xdr:row>10</xdr:row>
      <xdr:rowOff>123825</xdr:rowOff>
    </xdr:from>
    <xdr:to>
      <xdr:col>45</xdr:col>
      <xdr:colOff>333375</xdr:colOff>
      <xdr:row>11</xdr:row>
      <xdr:rowOff>152400</xdr:rowOff>
    </xdr:to>
    <xdr:sp macro="" textlink="">
      <xdr:nvSpPr>
        <xdr:cNvPr id="719643" name="Line 255">
          <a:extLst>
            <a:ext uri="{FF2B5EF4-FFF2-40B4-BE49-F238E27FC236}">
              <a16:creationId xmlns:a16="http://schemas.microsoft.com/office/drawing/2014/main" id="{00000000-0008-0000-0000-00001BFB0A00}"/>
            </a:ext>
          </a:extLst>
        </xdr:cNvPr>
        <xdr:cNvSpPr>
          <a:spLocks noChangeShapeType="1"/>
        </xdr:cNvSpPr>
      </xdr:nvSpPr>
      <xdr:spPr bwMode="auto">
        <a:xfrm flipV="1">
          <a:off x="12715875" y="1790700"/>
          <a:ext cx="0" cy="190500"/>
        </a:xfrm>
        <a:prstGeom prst="line">
          <a:avLst/>
        </a:prstGeom>
        <a:noFill/>
        <a:ln w="6350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50</xdr:col>
      <xdr:colOff>66675</xdr:colOff>
      <xdr:row>10</xdr:row>
      <xdr:rowOff>133350</xdr:rowOff>
    </xdr:from>
    <xdr:to>
      <xdr:col>50</xdr:col>
      <xdr:colOff>66675</xdr:colOff>
      <xdr:row>11</xdr:row>
      <xdr:rowOff>152400</xdr:rowOff>
    </xdr:to>
    <xdr:sp macro="" textlink="">
      <xdr:nvSpPr>
        <xdr:cNvPr id="719644" name="Line 257">
          <a:extLst>
            <a:ext uri="{FF2B5EF4-FFF2-40B4-BE49-F238E27FC236}">
              <a16:creationId xmlns:a16="http://schemas.microsoft.com/office/drawing/2014/main" id="{00000000-0008-0000-0000-00001CFB0A00}"/>
            </a:ext>
          </a:extLst>
        </xdr:cNvPr>
        <xdr:cNvSpPr>
          <a:spLocks noChangeShapeType="1"/>
        </xdr:cNvSpPr>
      </xdr:nvSpPr>
      <xdr:spPr bwMode="auto">
        <a:xfrm flipV="1">
          <a:off x="14344650" y="1800225"/>
          <a:ext cx="0" cy="180975"/>
        </a:xfrm>
        <a:prstGeom prst="line">
          <a:avLst/>
        </a:prstGeom>
        <a:noFill/>
        <a:ln w="6350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63</xdr:col>
      <xdr:colOff>342900</xdr:colOff>
      <xdr:row>10</xdr:row>
      <xdr:rowOff>123825</xdr:rowOff>
    </xdr:from>
    <xdr:to>
      <xdr:col>63</xdr:col>
      <xdr:colOff>342900</xdr:colOff>
      <xdr:row>13</xdr:row>
      <xdr:rowOff>0</xdr:rowOff>
    </xdr:to>
    <xdr:sp macro="" textlink="">
      <xdr:nvSpPr>
        <xdr:cNvPr id="719645" name="Line 258">
          <a:extLst>
            <a:ext uri="{FF2B5EF4-FFF2-40B4-BE49-F238E27FC236}">
              <a16:creationId xmlns:a16="http://schemas.microsoft.com/office/drawing/2014/main" id="{00000000-0008-0000-0000-00001DFB0A00}"/>
            </a:ext>
          </a:extLst>
        </xdr:cNvPr>
        <xdr:cNvSpPr>
          <a:spLocks noChangeShapeType="1"/>
        </xdr:cNvSpPr>
      </xdr:nvSpPr>
      <xdr:spPr bwMode="auto">
        <a:xfrm>
          <a:off x="17964150" y="1790700"/>
          <a:ext cx="0" cy="314325"/>
        </a:xfrm>
        <a:prstGeom prst="line">
          <a:avLst/>
        </a:prstGeom>
        <a:noFill/>
        <a:ln w="6350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63</xdr:col>
      <xdr:colOff>352425</xdr:colOff>
      <xdr:row>14</xdr:row>
      <xdr:rowOff>0</xdr:rowOff>
    </xdr:from>
    <xdr:to>
      <xdr:col>63</xdr:col>
      <xdr:colOff>438150</xdr:colOff>
      <xdr:row>14</xdr:row>
      <xdr:rowOff>66675</xdr:rowOff>
    </xdr:to>
    <xdr:sp macro="" textlink="">
      <xdr:nvSpPr>
        <xdr:cNvPr id="719646" name="Line 260">
          <a:extLst>
            <a:ext uri="{FF2B5EF4-FFF2-40B4-BE49-F238E27FC236}">
              <a16:creationId xmlns:a16="http://schemas.microsoft.com/office/drawing/2014/main" id="{00000000-0008-0000-0000-00001EFB0A00}"/>
            </a:ext>
          </a:extLst>
        </xdr:cNvPr>
        <xdr:cNvSpPr>
          <a:spLocks noChangeShapeType="1"/>
        </xdr:cNvSpPr>
      </xdr:nvSpPr>
      <xdr:spPr bwMode="auto">
        <a:xfrm>
          <a:off x="17973675" y="2219325"/>
          <a:ext cx="85725" cy="66675"/>
        </a:xfrm>
        <a:prstGeom prst="line">
          <a:avLst/>
        </a:prstGeom>
        <a:noFill/>
        <a:ln w="15875">
          <a:solidFill>
            <a:srgbClr val="C00000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68</xdr:col>
      <xdr:colOff>9525</xdr:colOff>
      <xdr:row>10</xdr:row>
      <xdr:rowOff>123825</xdr:rowOff>
    </xdr:from>
    <xdr:to>
      <xdr:col>68</xdr:col>
      <xdr:colOff>9525</xdr:colOff>
      <xdr:row>12</xdr:row>
      <xdr:rowOff>114300</xdr:rowOff>
    </xdr:to>
    <xdr:sp macro="" textlink="">
      <xdr:nvSpPr>
        <xdr:cNvPr id="719647" name="Line 262">
          <a:extLst>
            <a:ext uri="{FF2B5EF4-FFF2-40B4-BE49-F238E27FC236}">
              <a16:creationId xmlns:a16="http://schemas.microsoft.com/office/drawing/2014/main" id="{00000000-0008-0000-0000-00001FFB0A00}"/>
            </a:ext>
          </a:extLst>
        </xdr:cNvPr>
        <xdr:cNvSpPr>
          <a:spLocks noChangeShapeType="1"/>
        </xdr:cNvSpPr>
      </xdr:nvSpPr>
      <xdr:spPr bwMode="auto">
        <a:xfrm>
          <a:off x="19526250" y="1790700"/>
          <a:ext cx="0" cy="314325"/>
        </a:xfrm>
        <a:prstGeom prst="line">
          <a:avLst/>
        </a:prstGeom>
        <a:noFill/>
        <a:ln w="6350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77</xdr:col>
      <xdr:colOff>0</xdr:colOff>
      <xdr:row>15</xdr:row>
      <xdr:rowOff>28575</xdr:rowOff>
    </xdr:from>
    <xdr:to>
      <xdr:col>90</xdr:col>
      <xdr:colOff>247650</xdr:colOff>
      <xdr:row>15</xdr:row>
      <xdr:rowOff>28575</xdr:rowOff>
    </xdr:to>
    <xdr:sp macro="" textlink="">
      <xdr:nvSpPr>
        <xdr:cNvPr id="719648" name="Line 306">
          <a:extLst>
            <a:ext uri="{FF2B5EF4-FFF2-40B4-BE49-F238E27FC236}">
              <a16:creationId xmlns:a16="http://schemas.microsoft.com/office/drawing/2014/main" id="{00000000-0008-0000-0000-000020FB0A00}"/>
            </a:ext>
          </a:extLst>
        </xdr:cNvPr>
        <xdr:cNvSpPr>
          <a:spLocks noChangeShapeType="1"/>
        </xdr:cNvSpPr>
      </xdr:nvSpPr>
      <xdr:spPr bwMode="auto">
        <a:xfrm>
          <a:off x="21726525" y="2457450"/>
          <a:ext cx="46291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95</xdr:col>
      <xdr:colOff>0</xdr:colOff>
      <xdr:row>16</xdr:row>
      <xdr:rowOff>38100</xdr:rowOff>
    </xdr:from>
    <xdr:to>
      <xdr:col>109</xdr:col>
      <xdr:colOff>9525</xdr:colOff>
      <xdr:row>16</xdr:row>
      <xdr:rowOff>38100</xdr:rowOff>
    </xdr:to>
    <xdr:sp macro="" textlink="">
      <xdr:nvSpPr>
        <xdr:cNvPr id="719649" name="Line 317">
          <a:extLst>
            <a:ext uri="{FF2B5EF4-FFF2-40B4-BE49-F238E27FC236}">
              <a16:creationId xmlns:a16="http://schemas.microsoft.com/office/drawing/2014/main" id="{00000000-0008-0000-0000-000021FB0A00}"/>
            </a:ext>
          </a:extLst>
        </xdr:cNvPr>
        <xdr:cNvSpPr>
          <a:spLocks noChangeShapeType="1"/>
        </xdr:cNvSpPr>
      </xdr:nvSpPr>
      <xdr:spPr bwMode="auto">
        <a:xfrm>
          <a:off x="26965275" y="2676525"/>
          <a:ext cx="46291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81</xdr:col>
      <xdr:colOff>342900</xdr:colOff>
      <xdr:row>13</xdr:row>
      <xdr:rowOff>0</xdr:rowOff>
    </xdr:from>
    <xdr:to>
      <xdr:col>81</xdr:col>
      <xdr:colOff>428625</xdr:colOff>
      <xdr:row>13</xdr:row>
      <xdr:rowOff>66675</xdr:rowOff>
    </xdr:to>
    <xdr:sp macro="" textlink="">
      <xdr:nvSpPr>
        <xdr:cNvPr id="719650" name="Line 352">
          <a:extLst>
            <a:ext uri="{FF2B5EF4-FFF2-40B4-BE49-F238E27FC236}">
              <a16:creationId xmlns:a16="http://schemas.microsoft.com/office/drawing/2014/main" id="{00000000-0008-0000-0000-000022FB0A00}"/>
            </a:ext>
          </a:extLst>
        </xdr:cNvPr>
        <xdr:cNvSpPr>
          <a:spLocks noChangeShapeType="1"/>
        </xdr:cNvSpPr>
      </xdr:nvSpPr>
      <xdr:spPr bwMode="auto">
        <a:xfrm>
          <a:off x="23212425" y="2105025"/>
          <a:ext cx="85725" cy="66675"/>
        </a:xfrm>
        <a:prstGeom prst="line">
          <a:avLst/>
        </a:prstGeom>
        <a:noFill/>
        <a:ln w="15875">
          <a:solidFill>
            <a:srgbClr val="C00000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85</xdr:col>
      <xdr:colOff>85725</xdr:colOff>
      <xdr:row>13</xdr:row>
      <xdr:rowOff>9525</xdr:rowOff>
    </xdr:from>
    <xdr:to>
      <xdr:col>85</xdr:col>
      <xdr:colOff>152400</xdr:colOff>
      <xdr:row>13</xdr:row>
      <xdr:rowOff>76200</xdr:rowOff>
    </xdr:to>
    <xdr:sp macro="" textlink="">
      <xdr:nvSpPr>
        <xdr:cNvPr id="719651" name="Line 353">
          <a:extLst>
            <a:ext uri="{FF2B5EF4-FFF2-40B4-BE49-F238E27FC236}">
              <a16:creationId xmlns:a16="http://schemas.microsoft.com/office/drawing/2014/main" id="{00000000-0008-0000-0000-000023FB0A00}"/>
            </a:ext>
          </a:extLst>
        </xdr:cNvPr>
        <xdr:cNvSpPr>
          <a:spLocks noChangeShapeType="1"/>
        </xdr:cNvSpPr>
      </xdr:nvSpPr>
      <xdr:spPr bwMode="auto">
        <a:xfrm flipH="1">
          <a:off x="24593550" y="2114550"/>
          <a:ext cx="66675" cy="66675"/>
        </a:xfrm>
        <a:prstGeom prst="line">
          <a:avLst/>
        </a:prstGeom>
        <a:noFill/>
        <a:ln w="15875">
          <a:solidFill>
            <a:srgbClr val="C00000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81</xdr:col>
      <xdr:colOff>333375</xdr:colOff>
      <xdr:row>10</xdr:row>
      <xdr:rowOff>114300</xdr:rowOff>
    </xdr:from>
    <xdr:to>
      <xdr:col>81</xdr:col>
      <xdr:colOff>333375</xdr:colOff>
      <xdr:row>11</xdr:row>
      <xdr:rowOff>152400</xdr:rowOff>
    </xdr:to>
    <xdr:sp macro="" textlink="">
      <xdr:nvSpPr>
        <xdr:cNvPr id="719652" name="Line 354">
          <a:extLst>
            <a:ext uri="{FF2B5EF4-FFF2-40B4-BE49-F238E27FC236}">
              <a16:creationId xmlns:a16="http://schemas.microsoft.com/office/drawing/2014/main" id="{00000000-0008-0000-0000-000024FB0A00}"/>
            </a:ext>
          </a:extLst>
        </xdr:cNvPr>
        <xdr:cNvSpPr>
          <a:spLocks noChangeShapeType="1"/>
        </xdr:cNvSpPr>
      </xdr:nvSpPr>
      <xdr:spPr bwMode="auto">
        <a:xfrm flipV="1">
          <a:off x="23202900" y="1781175"/>
          <a:ext cx="0" cy="200025"/>
        </a:xfrm>
        <a:prstGeom prst="line">
          <a:avLst/>
        </a:prstGeom>
        <a:noFill/>
        <a:ln w="6350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85</xdr:col>
      <xdr:colOff>161925</xdr:colOff>
      <xdr:row>10</xdr:row>
      <xdr:rowOff>142875</xdr:rowOff>
    </xdr:from>
    <xdr:to>
      <xdr:col>85</xdr:col>
      <xdr:colOff>161925</xdr:colOff>
      <xdr:row>12</xdr:row>
      <xdr:rowOff>9525</xdr:rowOff>
    </xdr:to>
    <xdr:sp macro="" textlink="">
      <xdr:nvSpPr>
        <xdr:cNvPr id="719653" name="Line 356">
          <a:extLst>
            <a:ext uri="{FF2B5EF4-FFF2-40B4-BE49-F238E27FC236}">
              <a16:creationId xmlns:a16="http://schemas.microsoft.com/office/drawing/2014/main" id="{00000000-0008-0000-0000-000025FB0A00}"/>
            </a:ext>
          </a:extLst>
        </xdr:cNvPr>
        <xdr:cNvSpPr>
          <a:spLocks noChangeShapeType="1"/>
        </xdr:cNvSpPr>
      </xdr:nvSpPr>
      <xdr:spPr bwMode="auto">
        <a:xfrm flipV="1">
          <a:off x="24669750" y="1809750"/>
          <a:ext cx="0" cy="190500"/>
        </a:xfrm>
        <a:prstGeom prst="line">
          <a:avLst/>
        </a:prstGeom>
        <a:noFill/>
        <a:ln w="6350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99</xdr:col>
      <xdr:colOff>342900</xdr:colOff>
      <xdr:row>10</xdr:row>
      <xdr:rowOff>133350</xdr:rowOff>
    </xdr:from>
    <xdr:to>
      <xdr:col>99</xdr:col>
      <xdr:colOff>342900</xdr:colOff>
      <xdr:row>13</xdr:row>
      <xdr:rowOff>9525</xdr:rowOff>
    </xdr:to>
    <xdr:sp macro="" textlink="">
      <xdr:nvSpPr>
        <xdr:cNvPr id="719654" name="Line 357">
          <a:extLst>
            <a:ext uri="{FF2B5EF4-FFF2-40B4-BE49-F238E27FC236}">
              <a16:creationId xmlns:a16="http://schemas.microsoft.com/office/drawing/2014/main" id="{00000000-0008-0000-0000-000026FB0A00}"/>
            </a:ext>
          </a:extLst>
        </xdr:cNvPr>
        <xdr:cNvSpPr>
          <a:spLocks noChangeShapeType="1"/>
        </xdr:cNvSpPr>
      </xdr:nvSpPr>
      <xdr:spPr bwMode="auto">
        <a:xfrm>
          <a:off x="28451175" y="1800225"/>
          <a:ext cx="0" cy="314325"/>
        </a:xfrm>
        <a:prstGeom prst="line">
          <a:avLst/>
        </a:prstGeom>
        <a:noFill/>
        <a:ln w="6350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99</xdr:col>
      <xdr:colOff>352425</xdr:colOff>
      <xdr:row>14</xdr:row>
      <xdr:rowOff>9525</xdr:rowOff>
    </xdr:from>
    <xdr:to>
      <xdr:col>99</xdr:col>
      <xdr:colOff>438150</xdr:colOff>
      <xdr:row>14</xdr:row>
      <xdr:rowOff>76200</xdr:rowOff>
    </xdr:to>
    <xdr:sp macro="" textlink="">
      <xdr:nvSpPr>
        <xdr:cNvPr id="719655" name="Line 359">
          <a:extLst>
            <a:ext uri="{FF2B5EF4-FFF2-40B4-BE49-F238E27FC236}">
              <a16:creationId xmlns:a16="http://schemas.microsoft.com/office/drawing/2014/main" id="{00000000-0008-0000-0000-000027FB0A00}"/>
            </a:ext>
          </a:extLst>
        </xdr:cNvPr>
        <xdr:cNvSpPr>
          <a:spLocks noChangeShapeType="1"/>
        </xdr:cNvSpPr>
      </xdr:nvSpPr>
      <xdr:spPr bwMode="auto">
        <a:xfrm>
          <a:off x="28460700" y="2228850"/>
          <a:ext cx="85725" cy="66675"/>
        </a:xfrm>
        <a:prstGeom prst="line">
          <a:avLst/>
        </a:prstGeom>
        <a:noFill/>
        <a:ln w="15875">
          <a:solidFill>
            <a:srgbClr val="C00000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103</xdr:col>
      <xdr:colOff>66675</xdr:colOff>
      <xdr:row>10</xdr:row>
      <xdr:rowOff>123825</xdr:rowOff>
    </xdr:from>
    <xdr:to>
      <xdr:col>103</xdr:col>
      <xdr:colOff>66675</xdr:colOff>
      <xdr:row>13</xdr:row>
      <xdr:rowOff>9525</xdr:rowOff>
    </xdr:to>
    <xdr:sp macro="" textlink="">
      <xdr:nvSpPr>
        <xdr:cNvPr id="719656" name="Line 361">
          <a:extLst>
            <a:ext uri="{FF2B5EF4-FFF2-40B4-BE49-F238E27FC236}">
              <a16:creationId xmlns:a16="http://schemas.microsoft.com/office/drawing/2014/main" id="{00000000-0008-0000-0000-000028FB0A00}"/>
            </a:ext>
          </a:extLst>
        </xdr:cNvPr>
        <xdr:cNvSpPr>
          <a:spLocks noChangeShapeType="1"/>
        </xdr:cNvSpPr>
      </xdr:nvSpPr>
      <xdr:spPr bwMode="auto">
        <a:xfrm>
          <a:off x="29813250" y="1790700"/>
          <a:ext cx="0" cy="323850"/>
        </a:xfrm>
        <a:prstGeom prst="line">
          <a:avLst/>
        </a:prstGeom>
        <a:noFill/>
        <a:ln w="6350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113</xdr:col>
      <xdr:colOff>0</xdr:colOff>
      <xdr:row>15</xdr:row>
      <xdr:rowOff>28575</xdr:rowOff>
    </xdr:from>
    <xdr:to>
      <xdr:col>127</xdr:col>
      <xdr:colOff>0</xdr:colOff>
      <xdr:row>15</xdr:row>
      <xdr:rowOff>28575</xdr:rowOff>
    </xdr:to>
    <xdr:sp macro="" textlink="">
      <xdr:nvSpPr>
        <xdr:cNvPr id="719657" name="Line 392">
          <a:extLst>
            <a:ext uri="{FF2B5EF4-FFF2-40B4-BE49-F238E27FC236}">
              <a16:creationId xmlns:a16="http://schemas.microsoft.com/office/drawing/2014/main" id="{00000000-0008-0000-0000-000029FB0A00}"/>
            </a:ext>
          </a:extLst>
        </xdr:cNvPr>
        <xdr:cNvSpPr>
          <a:spLocks noChangeShapeType="1"/>
        </xdr:cNvSpPr>
      </xdr:nvSpPr>
      <xdr:spPr bwMode="auto">
        <a:xfrm>
          <a:off x="32194500" y="2457450"/>
          <a:ext cx="46101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130</xdr:col>
      <xdr:colOff>171450</xdr:colOff>
      <xdr:row>16</xdr:row>
      <xdr:rowOff>38100</xdr:rowOff>
    </xdr:from>
    <xdr:to>
      <xdr:col>145</xdr:col>
      <xdr:colOff>38100</xdr:colOff>
      <xdr:row>16</xdr:row>
      <xdr:rowOff>38100</xdr:rowOff>
    </xdr:to>
    <xdr:sp macro="" textlink="">
      <xdr:nvSpPr>
        <xdr:cNvPr id="719658" name="Line 403">
          <a:extLst>
            <a:ext uri="{FF2B5EF4-FFF2-40B4-BE49-F238E27FC236}">
              <a16:creationId xmlns:a16="http://schemas.microsoft.com/office/drawing/2014/main" id="{00000000-0008-0000-0000-00002AFB0A00}"/>
            </a:ext>
          </a:extLst>
        </xdr:cNvPr>
        <xdr:cNvSpPr>
          <a:spLocks noChangeShapeType="1"/>
        </xdr:cNvSpPr>
      </xdr:nvSpPr>
      <xdr:spPr bwMode="auto">
        <a:xfrm>
          <a:off x="37414200" y="2676525"/>
          <a:ext cx="465772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117</xdr:col>
      <xdr:colOff>342900</xdr:colOff>
      <xdr:row>13</xdr:row>
      <xdr:rowOff>0</xdr:rowOff>
    </xdr:from>
    <xdr:to>
      <xdr:col>117</xdr:col>
      <xdr:colOff>428625</xdr:colOff>
      <xdr:row>13</xdr:row>
      <xdr:rowOff>66675</xdr:rowOff>
    </xdr:to>
    <xdr:sp macro="" textlink="">
      <xdr:nvSpPr>
        <xdr:cNvPr id="719659" name="Line 438">
          <a:extLst>
            <a:ext uri="{FF2B5EF4-FFF2-40B4-BE49-F238E27FC236}">
              <a16:creationId xmlns:a16="http://schemas.microsoft.com/office/drawing/2014/main" id="{00000000-0008-0000-0000-00002BFB0A00}"/>
            </a:ext>
          </a:extLst>
        </xdr:cNvPr>
        <xdr:cNvSpPr>
          <a:spLocks noChangeShapeType="1"/>
        </xdr:cNvSpPr>
      </xdr:nvSpPr>
      <xdr:spPr bwMode="auto">
        <a:xfrm>
          <a:off x="33689925" y="2105025"/>
          <a:ext cx="85725" cy="66675"/>
        </a:xfrm>
        <a:prstGeom prst="line">
          <a:avLst/>
        </a:prstGeom>
        <a:noFill/>
        <a:ln w="15875">
          <a:solidFill>
            <a:srgbClr val="C00000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139</xdr:col>
      <xdr:colOff>200025</xdr:colOff>
      <xdr:row>14</xdr:row>
      <xdr:rowOff>9525</xdr:rowOff>
    </xdr:from>
    <xdr:to>
      <xdr:col>140</xdr:col>
      <xdr:colOff>9525</xdr:colOff>
      <xdr:row>14</xdr:row>
      <xdr:rowOff>76200</xdr:rowOff>
    </xdr:to>
    <xdr:sp macro="" textlink="">
      <xdr:nvSpPr>
        <xdr:cNvPr id="719660" name="Line 439">
          <a:extLst>
            <a:ext uri="{FF2B5EF4-FFF2-40B4-BE49-F238E27FC236}">
              <a16:creationId xmlns:a16="http://schemas.microsoft.com/office/drawing/2014/main" id="{00000000-0008-0000-0000-00002CFB0A00}"/>
            </a:ext>
          </a:extLst>
        </xdr:cNvPr>
        <xdr:cNvSpPr>
          <a:spLocks noChangeShapeType="1"/>
        </xdr:cNvSpPr>
      </xdr:nvSpPr>
      <xdr:spPr bwMode="auto">
        <a:xfrm flipH="1">
          <a:off x="40414575" y="2228850"/>
          <a:ext cx="66675" cy="66675"/>
        </a:xfrm>
        <a:prstGeom prst="line">
          <a:avLst/>
        </a:prstGeom>
        <a:noFill/>
        <a:ln w="15875">
          <a:solidFill>
            <a:srgbClr val="C00000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117</xdr:col>
      <xdr:colOff>333375</xdr:colOff>
      <xdr:row>10</xdr:row>
      <xdr:rowOff>133350</xdr:rowOff>
    </xdr:from>
    <xdr:to>
      <xdr:col>117</xdr:col>
      <xdr:colOff>333375</xdr:colOff>
      <xdr:row>11</xdr:row>
      <xdr:rowOff>152400</xdr:rowOff>
    </xdr:to>
    <xdr:sp macro="" textlink="">
      <xdr:nvSpPr>
        <xdr:cNvPr id="719661" name="Line 440">
          <a:extLst>
            <a:ext uri="{FF2B5EF4-FFF2-40B4-BE49-F238E27FC236}">
              <a16:creationId xmlns:a16="http://schemas.microsoft.com/office/drawing/2014/main" id="{00000000-0008-0000-0000-00002DFB0A00}"/>
            </a:ext>
          </a:extLst>
        </xdr:cNvPr>
        <xdr:cNvSpPr>
          <a:spLocks noChangeShapeType="1"/>
        </xdr:cNvSpPr>
      </xdr:nvSpPr>
      <xdr:spPr bwMode="auto">
        <a:xfrm flipV="1">
          <a:off x="33680400" y="1800225"/>
          <a:ext cx="0" cy="180975"/>
        </a:xfrm>
        <a:prstGeom prst="line">
          <a:avLst/>
        </a:prstGeom>
        <a:noFill/>
        <a:ln w="6350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121</xdr:col>
      <xdr:colOff>161925</xdr:colOff>
      <xdr:row>10</xdr:row>
      <xdr:rowOff>133350</xdr:rowOff>
    </xdr:from>
    <xdr:to>
      <xdr:col>121</xdr:col>
      <xdr:colOff>161925</xdr:colOff>
      <xdr:row>12</xdr:row>
      <xdr:rowOff>0</xdr:rowOff>
    </xdr:to>
    <xdr:sp macro="" textlink="">
      <xdr:nvSpPr>
        <xdr:cNvPr id="719662" name="Line 442">
          <a:extLst>
            <a:ext uri="{FF2B5EF4-FFF2-40B4-BE49-F238E27FC236}">
              <a16:creationId xmlns:a16="http://schemas.microsoft.com/office/drawing/2014/main" id="{00000000-0008-0000-0000-00002EFB0A00}"/>
            </a:ext>
          </a:extLst>
        </xdr:cNvPr>
        <xdr:cNvSpPr>
          <a:spLocks noChangeShapeType="1"/>
        </xdr:cNvSpPr>
      </xdr:nvSpPr>
      <xdr:spPr bwMode="auto">
        <a:xfrm flipV="1">
          <a:off x="35147250" y="1800225"/>
          <a:ext cx="0" cy="190500"/>
        </a:xfrm>
        <a:prstGeom prst="line">
          <a:avLst/>
        </a:prstGeom>
        <a:noFill/>
        <a:ln w="6350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135</xdr:col>
      <xdr:colOff>342900</xdr:colOff>
      <xdr:row>10</xdr:row>
      <xdr:rowOff>133350</xdr:rowOff>
    </xdr:from>
    <xdr:to>
      <xdr:col>135</xdr:col>
      <xdr:colOff>342900</xdr:colOff>
      <xdr:row>13</xdr:row>
      <xdr:rowOff>9525</xdr:rowOff>
    </xdr:to>
    <xdr:sp macro="" textlink="">
      <xdr:nvSpPr>
        <xdr:cNvPr id="719663" name="Line 443">
          <a:extLst>
            <a:ext uri="{FF2B5EF4-FFF2-40B4-BE49-F238E27FC236}">
              <a16:creationId xmlns:a16="http://schemas.microsoft.com/office/drawing/2014/main" id="{00000000-0008-0000-0000-00002FFB0A00}"/>
            </a:ext>
          </a:extLst>
        </xdr:cNvPr>
        <xdr:cNvSpPr>
          <a:spLocks noChangeShapeType="1"/>
        </xdr:cNvSpPr>
      </xdr:nvSpPr>
      <xdr:spPr bwMode="auto">
        <a:xfrm>
          <a:off x="38919150" y="1800225"/>
          <a:ext cx="0" cy="314325"/>
        </a:xfrm>
        <a:prstGeom prst="line">
          <a:avLst/>
        </a:prstGeom>
        <a:noFill/>
        <a:ln w="6350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135</xdr:col>
      <xdr:colOff>352425</xdr:colOff>
      <xdr:row>14</xdr:row>
      <xdr:rowOff>9525</xdr:rowOff>
    </xdr:from>
    <xdr:to>
      <xdr:col>135</xdr:col>
      <xdr:colOff>438150</xdr:colOff>
      <xdr:row>14</xdr:row>
      <xdr:rowOff>76200</xdr:rowOff>
    </xdr:to>
    <xdr:sp macro="" textlink="">
      <xdr:nvSpPr>
        <xdr:cNvPr id="719664" name="Line 445">
          <a:extLst>
            <a:ext uri="{FF2B5EF4-FFF2-40B4-BE49-F238E27FC236}">
              <a16:creationId xmlns:a16="http://schemas.microsoft.com/office/drawing/2014/main" id="{00000000-0008-0000-0000-000030FB0A00}"/>
            </a:ext>
          </a:extLst>
        </xdr:cNvPr>
        <xdr:cNvSpPr>
          <a:spLocks noChangeShapeType="1"/>
        </xdr:cNvSpPr>
      </xdr:nvSpPr>
      <xdr:spPr bwMode="auto">
        <a:xfrm>
          <a:off x="38928675" y="2228850"/>
          <a:ext cx="85725" cy="66675"/>
        </a:xfrm>
        <a:prstGeom prst="line">
          <a:avLst/>
        </a:prstGeom>
        <a:noFill/>
        <a:ln w="15875">
          <a:solidFill>
            <a:srgbClr val="C00000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140</xdr:col>
      <xdr:colOff>9525</xdr:colOff>
      <xdr:row>10</xdr:row>
      <xdr:rowOff>114300</xdr:rowOff>
    </xdr:from>
    <xdr:to>
      <xdr:col>140</xdr:col>
      <xdr:colOff>9525</xdr:colOff>
      <xdr:row>12</xdr:row>
      <xdr:rowOff>114300</xdr:rowOff>
    </xdr:to>
    <xdr:sp macro="" textlink="">
      <xdr:nvSpPr>
        <xdr:cNvPr id="719665" name="Line 447">
          <a:extLst>
            <a:ext uri="{FF2B5EF4-FFF2-40B4-BE49-F238E27FC236}">
              <a16:creationId xmlns:a16="http://schemas.microsoft.com/office/drawing/2014/main" id="{00000000-0008-0000-0000-000031FB0A00}"/>
            </a:ext>
          </a:extLst>
        </xdr:cNvPr>
        <xdr:cNvSpPr>
          <a:spLocks noChangeShapeType="1"/>
        </xdr:cNvSpPr>
      </xdr:nvSpPr>
      <xdr:spPr bwMode="auto">
        <a:xfrm>
          <a:off x="40481250" y="1781175"/>
          <a:ext cx="0" cy="323850"/>
        </a:xfrm>
        <a:prstGeom prst="line">
          <a:avLst/>
        </a:prstGeom>
        <a:noFill/>
        <a:ln w="6350" cap="rnd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</xdr:colOff>
          <xdr:row>30</xdr:row>
          <xdr:rowOff>0</xdr:rowOff>
        </xdr:from>
        <xdr:to>
          <xdr:col>5</xdr:col>
          <xdr:colOff>304800</xdr:colOff>
          <xdr:row>31</xdr:row>
          <xdr:rowOff>25400</xdr:rowOff>
        </xdr:to>
        <xdr:sp macro="" textlink="">
          <xdr:nvSpPr>
            <xdr:cNvPr id="1488" name="CommandButton1" descr="lºlç~ºl~º&#10;&#10;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0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68686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</xdr:colOff>
          <xdr:row>31</xdr:row>
          <xdr:rowOff>209550</xdr:rowOff>
        </xdr:from>
        <xdr:to>
          <xdr:col>6</xdr:col>
          <xdr:colOff>0</xdr:colOff>
          <xdr:row>33</xdr:row>
          <xdr:rowOff>12700</xdr:rowOff>
        </xdr:to>
        <xdr:sp macro="" textlink="">
          <xdr:nvSpPr>
            <xdr:cNvPr id="1491" name="CommandButton2" descr="lºlç~ºl~º&#10;&#10;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0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68686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</xdr:colOff>
          <xdr:row>33</xdr:row>
          <xdr:rowOff>222250</xdr:rowOff>
        </xdr:from>
        <xdr:to>
          <xdr:col>6</xdr:col>
          <xdr:colOff>0</xdr:colOff>
          <xdr:row>35</xdr:row>
          <xdr:rowOff>19050</xdr:rowOff>
        </xdr:to>
        <xdr:sp macro="" textlink="">
          <xdr:nvSpPr>
            <xdr:cNvPr id="1492" name="CommandButton3" descr="lºlç~ºl~º&#10;&#10;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0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68686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</xdr:colOff>
          <xdr:row>35</xdr:row>
          <xdr:rowOff>222250</xdr:rowOff>
        </xdr:from>
        <xdr:to>
          <xdr:col>6</xdr:col>
          <xdr:colOff>0</xdr:colOff>
          <xdr:row>37</xdr:row>
          <xdr:rowOff>19050</xdr:rowOff>
        </xdr:to>
        <xdr:sp macro="" textlink="">
          <xdr:nvSpPr>
            <xdr:cNvPr id="1493" name="CommandButton4" descr="lºlç~ºl~º&#10;&#10;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0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68686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30</xdr:row>
          <xdr:rowOff>0</xdr:rowOff>
        </xdr:from>
        <xdr:to>
          <xdr:col>14</xdr:col>
          <xdr:colOff>533400</xdr:colOff>
          <xdr:row>31</xdr:row>
          <xdr:rowOff>25400</xdr:rowOff>
        </xdr:to>
        <xdr:sp macro="" textlink="">
          <xdr:nvSpPr>
            <xdr:cNvPr id="1494" name="CommandButton5" descr="lºlç~ºl~º&#10;&#10;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0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68686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  <xdr:twoCellAnchor>
    <xdr:from>
      <xdr:col>103</xdr:col>
      <xdr:colOff>9525</xdr:colOff>
      <xdr:row>14</xdr:row>
      <xdr:rowOff>0</xdr:rowOff>
    </xdr:from>
    <xdr:to>
      <xdr:col>103</xdr:col>
      <xdr:colOff>76200</xdr:colOff>
      <xdr:row>14</xdr:row>
      <xdr:rowOff>66675</xdr:rowOff>
    </xdr:to>
    <xdr:sp macro="" textlink="">
      <xdr:nvSpPr>
        <xdr:cNvPr id="719666" name="Line 474">
          <a:extLst>
            <a:ext uri="{FF2B5EF4-FFF2-40B4-BE49-F238E27FC236}">
              <a16:creationId xmlns:a16="http://schemas.microsoft.com/office/drawing/2014/main" id="{00000000-0008-0000-0000-000032FB0A00}"/>
            </a:ext>
          </a:extLst>
        </xdr:cNvPr>
        <xdr:cNvSpPr>
          <a:spLocks noChangeShapeType="1"/>
        </xdr:cNvSpPr>
      </xdr:nvSpPr>
      <xdr:spPr bwMode="auto">
        <a:xfrm flipH="1">
          <a:off x="29756100" y="2219325"/>
          <a:ext cx="66675" cy="66675"/>
        </a:xfrm>
        <a:prstGeom prst="line">
          <a:avLst/>
        </a:prstGeom>
        <a:noFill/>
        <a:ln w="15875">
          <a:solidFill>
            <a:srgbClr val="C00000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32</xdr:row>
          <xdr:rowOff>0</xdr:rowOff>
        </xdr:from>
        <xdr:to>
          <xdr:col>14</xdr:col>
          <xdr:colOff>533400</xdr:colOff>
          <xdr:row>33</xdr:row>
          <xdr:rowOff>25400</xdr:rowOff>
        </xdr:to>
        <xdr:sp macro="" textlink="">
          <xdr:nvSpPr>
            <xdr:cNvPr id="1504" name="CommandButton6" descr="lºlç~ºl~º&#10;&#10;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0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68686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  <xdr:twoCellAnchor>
    <xdr:from>
      <xdr:col>67</xdr:col>
      <xdr:colOff>219075</xdr:colOff>
      <xdr:row>14</xdr:row>
      <xdr:rowOff>0</xdr:rowOff>
    </xdr:from>
    <xdr:to>
      <xdr:col>68</xdr:col>
      <xdr:colOff>28575</xdr:colOff>
      <xdr:row>14</xdr:row>
      <xdr:rowOff>66675</xdr:rowOff>
    </xdr:to>
    <xdr:sp macro="" textlink="">
      <xdr:nvSpPr>
        <xdr:cNvPr id="719667" name="Line 481">
          <a:extLst>
            <a:ext uri="{FF2B5EF4-FFF2-40B4-BE49-F238E27FC236}">
              <a16:creationId xmlns:a16="http://schemas.microsoft.com/office/drawing/2014/main" id="{00000000-0008-0000-0000-000033FB0A00}"/>
            </a:ext>
          </a:extLst>
        </xdr:cNvPr>
        <xdr:cNvSpPr>
          <a:spLocks noChangeShapeType="1"/>
        </xdr:cNvSpPr>
      </xdr:nvSpPr>
      <xdr:spPr bwMode="auto">
        <a:xfrm flipH="1">
          <a:off x="19478625" y="2219325"/>
          <a:ext cx="66675" cy="66675"/>
        </a:xfrm>
        <a:prstGeom prst="line">
          <a:avLst/>
        </a:prstGeom>
        <a:noFill/>
        <a:ln w="15875">
          <a:solidFill>
            <a:srgbClr val="C00000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34</xdr:row>
          <xdr:rowOff>0</xdr:rowOff>
        </xdr:from>
        <xdr:to>
          <xdr:col>14</xdr:col>
          <xdr:colOff>533400</xdr:colOff>
          <xdr:row>35</xdr:row>
          <xdr:rowOff>25400</xdr:rowOff>
        </xdr:to>
        <xdr:sp macro="" textlink="">
          <xdr:nvSpPr>
            <xdr:cNvPr id="1517" name="CommandButton7" descr="lºlç~ºl~º&#10;&#10;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0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68686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36</xdr:row>
          <xdr:rowOff>0</xdr:rowOff>
        </xdr:from>
        <xdr:to>
          <xdr:col>14</xdr:col>
          <xdr:colOff>533400</xdr:colOff>
          <xdr:row>37</xdr:row>
          <xdr:rowOff>25400</xdr:rowOff>
        </xdr:to>
        <xdr:sp macro="" textlink="">
          <xdr:nvSpPr>
            <xdr:cNvPr id="1518" name="CommandButton8" descr="lºlç~ºl~º&#10;&#10;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0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68686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  <xdr:twoCellAnchor>
    <xdr:from>
      <xdr:col>5</xdr:col>
      <xdr:colOff>0</xdr:colOff>
      <xdr:row>15</xdr:row>
      <xdr:rowOff>0</xdr:rowOff>
    </xdr:from>
    <xdr:to>
      <xdr:col>5</xdr:col>
      <xdr:colOff>85725</xdr:colOff>
      <xdr:row>15</xdr:row>
      <xdr:rowOff>28575</xdr:rowOff>
    </xdr:to>
    <xdr:sp macro="" textlink="">
      <xdr:nvSpPr>
        <xdr:cNvPr id="719668" name="Line 496">
          <a:extLst>
            <a:ext uri="{FF2B5EF4-FFF2-40B4-BE49-F238E27FC236}">
              <a16:creationId xmlns:a16="http://schemas.microsoft.com/office/drawing/2014/main" id="{00000000-0008-0000-0000-000034FB0A00}"/>
            </a:ext>
          </a:extLst>
        </xdr:cNvPr>
        <xdr:cNvSpPr>
          <a:spLocks noChangeShapeType="1"/>
        </xdr:cNvSpPr>
      </xdr:nvSpPr>
      <xdr:spPr bwMode="auto">
        <a:xfrm flipV="1">
          <a:off x="533400" y="2428875"/>
          <a:ext cx="85725" cy="28575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0</xdr:colOff>
      <xdr:row>14</xdr:row>
      <xdr:rowOff>200025</xdr:rowOff>
    </xdr:from>
    <xdr:to>
      <xdr:col>19</xdr:col>
      <xdr:colOff>0</xdr:colOff>
      <xdr:row>15</xdr:row>
      <xdr:rowOff>66675</xdr:rowOff>
    </xdr:to>
    <xdr:sp macro="" textlink="">
      <xdr:nvSpPr>
        <xdr:cNvPr id="719669" name="Line 506">
          <a:extLst>
            <a:ext uri="{FF2B5EF4-FFF2-40B4-BE49-F238E27FC236}">
              <a16:creationId xmlns:a16="http://schemas.microsoft.com/office/drawing/2014/main" id="{00000000-0008-0000-0000-000035FB0A00}"/>
            </a:ext>
          </a:extLst>
        </xdr:cNvPr>
        <xdr:cNvSpPr>
          <a:spLocks noChangeShapeType="1"/>
        </xdr:cNvSpPr>
      </xdr:nvSpPr>
      <xdr:spPr bwMode="auto">
        <a:xfrm flipH="1">
          <a:off x="5610225" y="2419350"/>
          <a:ext cx="0" cy="762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142875</xdr:colOff>
      <xdr:row>16</xdr:row>
      <xdr:rowOff>0</xdr:rowOff>
    </xdr:from>
    <xdr:to>
      <xdr:col>22</xdr:col>
      <xdr:colOff>114300</xdr:colOff>
      <xdr:row>16</xdr:row>
      <xdr:rowOff>76200</xdr:rowOff>
    </xdr:to>
    <xdr:sp macro="" textlink="">
      <xdr:nvSpPr>
        <xdr:cNvPr id="719670" name="Line 507">
          <a:extLst>
            <a:ext uri="{FF2B5EF4-FFF2-40B4-BE49-F238E27FC236}">
              <a16:creationId xmlns:a16="http://schemas.microsoft.com/office/drawing/2014/main" id="{00000000-0008-0000-0000-000036FB0A00}"/>
            </a:ext>
          </a:extLst>
        </xdr:cNvPr>
        <xdr:cNvSpPr>
          <a:spLocks noChangeShapeType="1"/>
        </xdr:cNvSpPr>
      </xdr:nvSpPr>
      <xdr:spPr bwMode="auto">
        <a:xfrm flipH="1">
          <a:off x="6276975" y="2638425"/>
          <a:ext cx="0" cy="762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38100</xdr:colOff>
      <xdr:row>16</xdr:row>
      <xdr:rowOff>0</xdr:rowOff>
    </xdr:from>
    <xdr:to>
      <xdr:col>37</xdr:col>
      <xdr:colOff>38100</xdr:colOff>
      <xdr:row>16</xdr:row>
      <xdr:rowOff>76200</xdr:rowOff>
    </xdr:to>
    <xdr:sp macro="" textlink="">
      <xdr:nvSpPr>
        <xdr:cNvPr id="719671" name="Line 514">
          <a:extLst>
            <a:ext uri="{FF2B5EF4-FFF2-40B4-BE49-F238E27FC236}">
              <a16:creationId xmlns:a16="http://schemas.microsoft.com/office/drawing/2014/main" id="{00000000-0008-0000-0000-000037FB0A00}"/>
            </a:ext>
          </a:extLst>
        </xdr:cNvPr>
        <xdr:cNvSpPr>
          <a:spLocks noChangeShapeType="1"/>
        </xdr:cNvSpPr>
      </xdr:nvSpPr>
      <xdr:spPr bwMode="auto">
        <a:xfrm flipH="1">
          <a:off x="10648950" y="2638425"/>
          <a:ext cx="0" cy="762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142875</xdr:colOff>
      <xdr:row>14</xdr:row>
      <xdr:rowOff>200025</xdr:rowOff>
    </xdr:from>
    <xdr:to>
      <xdr:col>40</xdr:col>
      <xdr:colOff>142875</xdr:colOff>
      <xdr:row>15</xdr:row>
      <xdr:rowOff>66675</xdr:rowOff>
    </xdr:to>
    <xdr:sp macro="" textlink="">
      <xdr:nvSpPr>
        <xdr:cNvPr id="719672" name="Line 517">
          <a:extLst>
            <a:ext uri="{FF2B5EF4-FFF2-40B4-BE49-F238E27FC236}">
              <a16:creationId xmlns:a16="http://schemas.microsoft.com/office/drawing/2014/main" id="{00000000-0008-0000-0000-000038FB0A00}"/>
            </a:ext>
          </a:extLst>
        </xdr:cNvPr>
        <xdr:cNvSpPr>
          <a:spLocks noChangeShapeType="1"/>
        </xdr:cNvSpPr>
      </xdr:nvSpPr>
      <xdr:spPr bwMode="auto">
        <a:xfrm flipH="1">
          <a:off x="11229975" y="2419350"/>
          <a:ext cx="0" cy="762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161925</xdr:colOff>
      <xdr:row>15</xdr:row>
      <xdr:rowOff>28575</xdr:rowOff>
    </xdr:from>
    <xdr:to>
      <xdr:col>55</xdr:col>
      <xdr:colOff>0</xdr:colOff>
      <xdr:row>15</xdr:row>
      <xdr:rowOff>66675</xdr:rowOff>
    </xdr:to>
    <xdr:sp macro="" textlink="">
      <xdr:nvSpPr>
        <xdr:cNvPr id="719673" name="Line 524">
          <a:extLst>
            <a:ext uri="{FF2B5EF4-FFF2-40B4-BE49-F238E27FC236}">
              <a16:creationId xmlns:a16="http://schemas.microsoft.com/office/drawing/2014/main" id="{00000000-0008-0000-0000-000039FB0A00}"/>
            </a:ext>
          </a:extLst>
        </xdr:cNvPr>
        <xdr:cNvSpPr>
          <a:spLocks noChangeShapeType="1"/>
        </xdr:cNvSpPr>
      </xdr:nvSpPr>
      <xdr:spPr bwMode="auto">
        <a:xfrm flipV="1">
          <a:off x="15754350" y="2457450"/>
          <a:ext cx="85725" cy="381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0</xdr:colOff>
      <xdr:row>14</xdr:row>
      <xdr:rowOff>200025</xdr:rowOff>
    </xdr:from>
    <xdr:to>
      <xdr:col>55</xdr:col>
      <xdr:colOff>0</xdr:colOff>
      <xdr:row>15</xdr:row>
      <xdr:rowOff>66675</xdr:rowOff>
    </xdr:to>
    <xdr:sp macro="" textlink="">
      <xdr:nvSpPr>
        <xdr:cNvPr id="719674" name="Line 525">
          <a:extLst>
            <a:ext uri="{FF2B5EF4-FFF2-40B4-BE49-F238E27FC236}">
              <a16:creationId xmlns:a16="http://schemas.microsoft.com/office/drawing/2014/main" id="{00000000-0008-0000-0000-00003AFB0A00}"/>
            </a:ext>
          </a:extLst>
        </xdr:cNvPr>
        <xdr:cNvSpPr>
          <a:spLocks noChangeShapeType="1"/>
        </xdr:cNvSpPr>
      </xdr:nvSpPr>
      <xdr:spPr bwMode="auto">
        <a:xfrm flipH="1">
          <a:off x="15840075" y="2419350"/>
          <a:ext cx="0" cy="762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142875</xdr:colOff>
      <xdr:row>15</xdr:row>
      <xdr:rowOff>200025</xdr:rowOff>
    </xdr:from>
    <xdr:to>
      <xdr:col>58</xdr:col>
      <xdr:colOff>142875</xdr:colOff>
      <xdr:row>16</xdr:row>
      <xdr:rowOff>66675</xdr:rowOff>
    </xdr:to>
    <xdr:sp macro="" textlink="">
      <xdr:nvSpPr>
        <xdr:cNvPr id="719675" name="Line 526">
          <a:extLst>
            <a:ext uri="{FF2B5EF4-FFF2-40B4-BE49-F238E27FC236}">
              <a16:creationId xmlns:a16="http://schemas.microsoft.com/office/drawing/2014/main" id="{00000000-0008-0000-0000-00003BFB0A00}"/>
            </a:ext>
          </a:extLst>
        </xdr:cNvPr>
        <xdr:cNvSpPr>
          <a:spLocks noChangeShapeType="1"/>
        </xdr:cNvSpPr>
      </xdr:nvSpPr>
      <xdr:spPr bwMode="auto">
        <a:xfrm flipH="1">
          <a:off x="16440150" y="2628900"/>
          <a:ext cx="0" cy="762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142875</xdr:colOff>
      <xdr:row>15</xdr:row>
      <xdr:rowOff>200025</xdr:rowOff>
    </xdr:from>
    <xdr:to>
      <xdr:col>58</xdr:col>
      <xdr:colOff>142875</xdr:colOff>
      <xdr:row>16</xdr:row>
      <xdr:rowOff>66675</xdr:rowOff>
    </xdr:to>
    <xdr:sp macro="" textlink="">
      <xdr:nvSpPr>
        <xdr:cNvPr id="719676" name="Line 528">
          <a:extLst>
            <a:ext uri="{FF2B5EF4-FFF2-40B4-BE49-F238E27FC236}">
              <a16:creationId xmlns:a16="http://schemas.microsoft.com/office/drawing/2014/main" id="{00000000-0008-0000-0000-00003CFB0A00}"/>
            </a:ext>
          </a:extLst>
        </xdr:cNvPr>
        <xdr:cNvSpPr>
          <a:spLocks noChangeShapeType="1"/>
        </xdr:cNvSpPr>
      </xdr:nvSpPr>
      <xdr:spPr bwMode="auto">
        <a:xfrm flipH="1">
          <a:off x="16440150" y="2628900"/>
          <a:ext cx="0" cy="762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142875</xdr:colOff>
      <xdr:row>15</xdr:row>
      <xdr:rowOff>200025</xdr:rowOff>
    </xdr:from>
    <xdr:to>
      <xdr:col>58</xdr:col>
      <xdr:colOff>142875</xdr:colOff>
      <xdr:row>16</xdr:row>
      <xdr:rowOff>66675</xdr:rowOff>
    </xdr:to>
    <xdr:sp macro="" textlink="">
      <xdr:nvSpPr>
        <xdr:cNvPr id="719677" name="Line 530">
          <a:extLst>
            <a:ext uri="{FF2B5EF4-FFF2-40B4-BE49-F238E27FC236}">
              <a16:creationId xmlns:a16="http://schemas.microsoft.com/office/drawing/2014/main" id="{00000000-0008-0000-0000-00003DFB0A00}"/>
            </a:ext>
          </a:extLst>
        </xdr:cNvPr>
        <xdr:cNvSpPr>
          <a:spLocks noChangeShapeType="1"/>
        </xdr:cNvSpPr>
      </xdr:nvSpPr>
      <xdr:spPr bwMode="auto">
        <a:xfrm flipH="1">
          <a:off x="16440150" y="2628900"/>
          <a:ext cx="0" cy="762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142875</xdr:colOff>
      <xdr:row>16</xdr:row>
      <xdr:rowOff>0</xdr:rowOff>
    </xdr:from>
    <xdr:to>
      <xdr:col>58</xdr:col>
      <xdr:colOff>142875</xdr:colOff>
      <xdr:row>16</xdr:row>
      <xdr:rowOff>76200</xdr:rowOff>
    </xdr:to>
    <xdr:sp macro="" textlink="">
      <xdr:nvSpPr>
        <xdr:cNvPr id="719678" name="Line 532">
          <a:extLst>
            <a:ext uri="{FF2B5EF4-FFF2-40B4-BE49-F238E27FC236}">
              <a16:creationId xmlns:a16="http://schemas.microsoft.com/office/drawing/2014/main" id="{00000000-0008-0000-0000-00003EFB0A00}"/>
            </a:ext>
          </a:extLst>
        </xdr:cNvPr>
        <xdr:cNvSpPr>
          <a:spLocks noChangeShapeType="1"/>
        </xdr:cNvSpPr>
      </xdr:nvSpPr>
      <xdr:spPr bwMode="auto">
        <a:xfrm flipH="1">
          <a:off x="16440150" y="2638425"/>
          <a:ext cx="0" cy="762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72</xdr:col>
      <xdr:colOff>200025</xdr:colOff>
      <xdr:row>16</xdr:row>
      <xdr:rowOff>38100</xdr:rowOff>
    </xdr:from>
    <xdr:to>
      <xdr:col>73</xdr:col>
      <xdr:colOff>38100</xdr:colOff>
      <xdr:row>16</xdr:row>
      <xdr:rowOff>76200</xdr:rowOff>
    </xdr:to>
    <xdr:sp macro="" textlink="">
      <xdr:nvSpPr>
        <xdr:cNvPr id="719679" name="Line 540">
          <a:extLst>
            <a:ext uri="{FF2B5EF4-FFF2-40B4-BE49-F238E27FC236}">
              <a16:creationId xmlns:a16="http://schemas.microsoft.com/office/drawing/2014/main" id="{00000000-0008-0000-0000-00003FFB0A00}"/>
            </a:ext>
          </a:extLst>
        </xdr:cNvPr>
        <xdr:cNvSpPr>
          <a:spLocks noChangeShapeType="1"/>
        </xdr:cNvSpPr>
      </xdr:nvSpPr>
      <xdr:spPr bwMode="auto">
        <a:xfrm flipV="1">
          <a:off x="21069300" y="2676525"/>
          <a:ext cx="85725" cy="381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73</xdr:col>
      <xdr:colOff>38100</xdr:colOff>
      <xdr:row>16</xdr:row>
      <xdr:rowOff>0</xdr:rowOff>
    </xdr:from>
    <xdr:to>
      <xdr:col>73</xdr:col>
      <xdr:colOff>38100</xdr:colOff>
      <xdr:row>16</xdr:row>
      <xdr:rowOff>76200</xdr:rowOff>
    </xdr:to>
    <xdr:sp macro="" textlink="">
      <xdr:nvSpPr>
        <xdr:cNvPr id="719680" name="Line 541">
          <a:extLst>
            <a:ext uri="{FF2B5EF4-FFF2-40B4-BE49-F238E27FC236}">
              <a16:creationId xmlns:a16="http://schemas.microsoft.com/office/drawing/2014/main" id="{00000000-0008-0000-0000-000040FB0A00}"/>
            </a:ext>
          </a:extLst>
        </xdr:cNvPr>
        <xdr:cNvSpPr>
          <a:spLocks noChangeShapeType="1"/>
        </xdr:cNvSpPr>
      </xdr:nvSpPr>
      <xdr:spPr bwMode="auto">
        <a:xfrm flipH="1">
          <a:off x="21155025" y="2638425"/>
          <a:ext cx="0" cy="762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77</xdr:col>
      <xdr:colOff>0</xdr:colOff>
      <xdr:row>14</xdr:row>
      <xdr:rowOff>200025</xdr:rowOff>
    </xdr:from>
    <xdr:to>
      <xdr:col>77</xdr:col>
      <xdr:colOff>0</xdr:colOff>
      <xdr:row>15</xdr:row>
      <xdr:rowOff>66675</xdr:rowOff>
    </xdr:to>
    <xdr:sp macro="" textlink="">
      <xdr:nvSpPr>
        <xdr:cNvPr id="719681" name="Line 542">
          <a:extLst>
            <a:ext uri="{FF2B5EF4-FFF2-40B4-BE49-F238E27FC236}">
              <a16:creationId xmlns:a16="http://schemas.microsoft.com/office/drawing/2014/main" id="{00000000-0008-0000-0000-000041FB0A00}"/>
            </a:ext>
          </a:extLst>
        </xdr:cNvPr>
        <xdr:cNvSpPr>
          <a:spLocks noChangeShapeType="1"/>
        </xdr:cNvSpPr>
      </xdr:nvSpPr>
      <xdr:spPr bwMode="auto">
        <a:xfrm flipH="1">
          <a:off x="21726525" y="2419350"/>
          <a:ext cx="0" cy="762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77</xdr:col>
      <xdr:colOff>9525</xdr:colOff>
      <xdr:row>15</xdr:row>
      <xdr:rowOff>0</xdr:rowOff>
    </xdr:from>
    <xdr:to>
      <xdr:col>77</xdr:col>
      <xdr:colOff>95250</xdr:colOff>
      <xdr:row>15</xdr:row>
      <xdr:rowOff>28575</xdr:rowOff>
    </xdr:to>
    <xdr:sp macro="" textlink="">
      <xdr:nvSpPr>
        <xdr:cNvPr id="719682" name="Line 543">
          <a:extLst>
            <a:ext uri="{FF2B5EF4-FFF2-40B4-BE49-F238E27FC236}">
              <a16:creationId xmlns:a16="http://schemas.microsoft.com/office/drawing/2014/main" id="{00000000-0008-0000-0000-000042FB0A00}"/>
            </a:ext>
          </a:extLst>
        </xdr:cNvPr>
        <xdr:cNvSpPr>
          <a:spLocks noChangeShapeType="1"/>
        </xdr:cNvSpPr>
      </xdr:nvSpPr>
      <xdr:spPr bwMode="auto">
        <a:xfrm flipV="1">
          <a:off x="21736050" y="2428875"/>
          <a:ext cx="85725" cy="28575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90</xdr:col>
      <xdr:colOff>161925</xdr:colOff>
      <xdr:row>15</xdr:row>
      <xdr:rowOff>28575</xdr:rowOff>
    </xdr:from>
    <xdr:to>
      <xdr:col>91</xdr:col>
      <xdr:colOff>0</xdr:colOff>
      <xdr:row>15</xdr:row>
      <xdr:rowOff>66675</xdr:rowOff>
    </xdr:to>
    <xdr:sp macro="" textlink="">
      <xdr:nvSpPr>
        <xdr:cNvPr id="719683" name="Line 548">
          <a:extLst>
            <a:ext uri="{FF2B5EF4-FFF2-40B4-BE49-F238E27FC236}">
              <a16:creationId xmlns:a16="http://schemas.microsoft.com/office/drawing/2014/main" id="{00000000-0008-0000-0000-000043FB0A00}"/>
            </a:ext>
          </a:extLst>
        </xdr:cNvPr>
        <xdr:cNvSpPr>
          <a:spLocks noChangeShapeType="1"/>
        </xdr:cNvSpPr>
      </xdr:nvSpPr>
      <xdr:spPr bwMode="auto">
        <a:xfrm flipV="1">
          <a:off x="26269950" y="2457450"/>
          <a:ext cx="85725" cy="381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91</xdr:col>
      <xdr:colOff>0</xdr:colOff>
      <xdr:row>14</xdr:row>
      <xdr:rowOff>200025</xdr:rowOff>
    </xdr:from>
    <xdr:to>
      <xdr:col>91</xdr:col>
      <xdr:colOff>0</xdr:colOff>
      <xdr:row>15</xdr:row>
      <xdr:rowOff>66675</xdr:rowOff>
    </xdr:to>
    <xdr:sp macro="" textlink="">
      <xdr:nvSpPr>
        <xdr:cNvPr id="719684" name="Line 549">
          <a:extLst>
            <a:ext uri="{FF2B5EF4-FFF2-40B4-BE49-F238E27FC236}">
              <a16:creationId xmlns:a16="http://schemas.microsoft.com/office/drawing/2014/main" id="{00000000-0008-0000-0000-000044FB0A00}"/>
            </a:ext>
          </a:extLst>
        </xdr:cNvPr>
        <xdr:cNvSpPr>
          <a:spLocks noChangeShapeType="1"/>
        </xdr:cNvSpPr>
      </xdr:nvSpPr>
      <xdr:spPr bwMode="auto">
        <a:xfrm flipH="1">
          <a:off x="26355675" y="2419350"/>
          <a:ext cx="0" cy="762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94</xdr:col>
      <xdr:colOff>171450</xdr:colOff>
      <xdr:row>16</xdr:row>
      <xdr:rowOff>0</xdr:rowOff>
    </xdr:from>
    <xdr:to>
      <xdr:col>94</xdr:col>
      <xdr:colOff>152400</xdr:colOff>
      <xdr:row>16</xdr:row>
      <xdr:rowOff>76200</xdr:rowOff>
    </xdr:to>
    <xdr:sp macro="" textlink="">
      <xdr:nvSpPr>
        <xdr:cNvPr id="719685" name="Line 550">
          <a:extLst>
            <a:ext uri="{FF2B5EF4-FFF2-40B4-BE49-F238E27FC236}">
              <a16:creationId xmlns:a16="http://schemas.microsoft.com/office/drawing/2014/main" id="{00000000-0008-0000-0000-000045FB0A00}"/>
            </a:ext>
          </a:extLst>
        </xdr:cNvPr>
        <xdr:cNvSpPr>
          <a:spLocks noChangeShapeType="1"/>
        </xdr:cNvSpPr>
      </xdr:nvSpPr>
      <xdr:spPr bwMode="auto">
        <a:xfrm flipH="1">
          <a:off x="26965275" y="2638425"/>
          <a:ext cx="0" cy="762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95</xdr:col>
      <xdr:colOff>0</xdr:colOff>
      <xdr:row>16</xdr:row>
      <xdr:rowOff>9525</xdr:rowOff>
    </xdr:from>
    <xdr:to>
      <xdr:col>95</xdr:col>
      <xdr:colOff>85725</xdr:colOff>
      <xdr:row>16</xdr:row>
      <xdr:rowOff>38100</xdr:rowOff>
    </xdr:to>
    <xdr:sp macro="" textlink="">
      <xdr:nvSpPr>
        <xdr:cNvPr id="719686" name="Line 551">
          <a:extLst>
            <a:ext uri="{FF2B5EF4-FFF2-40B4-BE49-F238E27FC236}">
              <a16:creationId xmlns:a16="http://schemas.microsoft.com/office/drawing/2014/main" id="{00000000-0008-0000-0000-000046FB0A00}"/>
            </a:ext>
          </a:extLst>
        </xdr:cNvPr>
        <xdr:cNvSpPr>
          <a:spLocks noChangeShapeType="1"/>
        </xdr:cNvSpPr>
      </xdr:nvSpPr>
      <xdr:spPr bwMode="auto">
        <a:xfrm flipV="1">
          <a:off x="26965275" y="2647950"/>
          <a:ext cx="85725" cy="28575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108</xdr:col>
      <xdr:colOff>171450</xdr:colOff>
      <xdr:row>16</xdr:row>
      <xdr:rowOff>38100</xdr:rowOff>
    </xdr:from>
    <xdr:to>
      <xdr:col>109</xdr:col>
      <xdr:colOff>9525</xdr:colOff>
      <xdr:row>16</xdr:row>
      <xdr:rowOff>76200</xdr:rowOff>
    </xdr:to>
    <xdr:sp macro="" textlink="">
      <xdr:nvSpPr>
        <xdr:cNvPr id="719687" name="Line 556">
          <a:extLst>
            <a:ext uri="{FF2B5EF4-FFF2-40B4-BE49-F238E27FC236}">
              <a16:creationId xmlns:a16="http://schemas.microsoft.com/office/drawing/2014/main" id="{00000000-0008-0000-0000-000047FB0A00}"/>
            </a:ext>
          </a:extLst>
        </xdr:cNvPr>
        <xdr:cNvSpPr>
          <a:spLocks noChangeShapeType="1"/>
        </xdr:cNvSpPr>
      </xdr:nvSpPr>
      <xdr:spPr bwMode="auto">
        <a:xfrm flipV="1">
          <a:off x="31508700" y="2676525"/>
          <a:ext cx="85725" cy="381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109</xdr:col>
      <xdr:colOff>9525</xdr:colOff>
      <xdr:row>16</xdr:row>
      <xdr:rowOff>0</xdr:rowOff>
    </xdr:from>
    <xdr:to>
      <xdr:col>109</xdr:col>
      <xdr:colOff>9525</xdr:colOff>
      <xdr:row>16</xdr:row>
      <xdr:rowOff>76200</xdr:rowOff>
    </xdr:to>
    <xdr:sp macro="" textlink="">
      <xdr:nvSpPr>
        <xdr:cNvPr id="719688" name="Line 557">
          <a:extLst>
            <a:ext uri="{FF2B5EF4-FFF2-40B4-BE49-F238E27FC236}">
              <a16:creationId xmlns:a16="http://schemas.microsoft.com/office/drawing/2014/main" id="{00000000-0008-0000-0000-000048FB0A00}"/>
            </a:ext>
          </a:extLst>
        </xdr:cNvPr>
        <xdr:cNvSpPr>
          <a:spLocks noChangeShapeType="1"/>
        </xdr:cNvSpPr>
      </xdr:nvSpPr>
      <xdr:spPr bwMode="auto">
        <a:xfrm flipH="1">
          <a:off x="31594425" y="2638425"/>
          <a:ext cx="0" cy="762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113</xdr:col>
      <xdr:colOff>0</xdr:colOff>
      <xdr:row>14</xdr:row>
      <xdr:rowOff>200025</xdr:rowOff>
    </xdr:from>
    <xdr:to>
      <xdr:col>113</xdr:col>
      <xdr:colOff>0</xdr:colOff>
      <xdr:row>15</xdr:row>
      <xdr:rowOff>66675</xdr:rowOff>
    </xdr:to>
    <xdr:sp macro="" textlink="">
      <xdr:nvSpPr>
        <xdr:cNvPr id="719689" name="Line 558">
          <a:extLst>
            <a:ext uri="{FF2B5EF4-FFF2-40B4-BE49-F238E27FC236}">
              <a16:creationId xmlns:a16="http://schemas.microsoft.com/office/drawing/2014/main" id="{00000000-0008-0000-0000-000049FB0A00}"/>
            </a:ext>
          </a:extLst>
        </xdr:cNvPr>
        <xdr:cNvSpPr>
          <a:spLocks noChangeShapeType="1"/>
        </xdr:cNvSpPr>
      </xdr:nvSpPr>
      <xdr:spPr bwMode="auto">
        <a:xfrm flipH="1">
          <a:off x="32194500" y="2419350"/>
          <a:ext cx="0" cy="762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113</xdr:col>
      <xdr:colOff>9525</xdr:colOff>
      <xdr:row>15</xdr:row>
      <xdr:rowOff>0</xdr:rowOff>
    </xdr:from>
    <xdr:to>
      <xdr:col>113</xdr:col>
      <xdr:colOff>95250</xdr:colOff>
      <xdr:row>15</xdr:row>
      <xdr:rowOff>28575</xdr:rowOff>
    </xdr:to>
    <xdr:sp macro="" textlink="">
      <xdr:nvSpPr>
        <xdr:cNvPr id="719690" name="Line 559">
          <a:extLst>
            <a:ext uri="{FF2B5EF4-FFF2-40B4-BE49-F238E27FC236}">
              <a16:creationId xmlns:a16="http://schemas.microsoft.com/office/drawing/2014/main" id="{00000000-0008-0000-0000-00004AFB0A00}"/>
            </a:ext>
          </a:extLst>
        </xdr:cNvPr>
        <xdr:cNvSpPr>
          <a:spLocks noChangeShapeType="1"/>
        </xdr:cNvSpPr>
      </xdr:nvSpPr>
      <xdr:spPr bwMode="auto">
        <a:xfrm flipV="1">
          <a:off x="32204025" y="2428875"/>
          <a:ext cx="85725" cy="28575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126</xdr:col>
      <xdr:colOff>161925</xdr:colOff>
      <xdr:row>15</xdr:row>
      <xdr:rowOff>28575</xdr:rowOff>
    </xdr:from>
    <xdr:to>
      <xdr:col>127</xdr:col>
      <xdr:colOff>0</xdr:colOff>
      <xdr:row>15</xdr:row>
      <xdr:rowOff>66675</xdr:rowOff>
    </xdr:to>
    <xdr:sp macro="" textlink="">
      <xdr:nvSpPr>
        <xdr:cNvPr id="719691" name="Line 564">
          <a:extLst>
            <a:ext uri="{FF2B5EF4-FFF2-40B4-BE49-F238E27FC236}">
              <a16:creationId xmlns:a16="http://schemas.microsoft.com/office/drawing/2014/main" id="{00000000-0008-0000-0000-00004BFB0A00}"/>
            </a:ext>
          </a:extLst>
        </xdr:cNvPr>
        <xdr:cNvSpPr>
          <a:spLocks noChangeShapeType="1"/>
        </xdr:cNvSpPr>
      </xdr:nvSpPr>
      <xdr:spPr bwMode="auto">
        <a:xfrm flipV="1">
          <a:off x="36718875" y="2457450"/>
          <a:ext cx="85725" cy="381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127</xdr:col>
      <xdr:colOff>0</xdr:colOff>
      <xdr:row>14</xdr:row>
      <xdr:rowOff>200025</xdr:rowOff>
    </xdr:from>
    <xdr:to>
      <xdr:col>127</xdr:col>
      <xdr:colOff>0</xdr:colOff>
      <xdr:row>15</xdr:row>
      <xdr:rowOff>66675</xdr:rowOff>
    </xdr:to>
    <xdr:sp macro="" textlink="">
      <xdr:nvSpPr>
        <xdr:cNvPr id="719692" name="Line 565">
          <a:extLst>
            <a:ext uri="{FF2B5EF4-FFF2-40B4-BE49-F238E27FC236}">
              <a16:creationId xmlns:a16="http://schemas.microsoft.com/office/drawing/2014/main" id="{00000000-0008-0000-0000-00004CFB0A00}"/>
            </a:ext>
          </a:extLst>
        </xdr:cNvPr>
        <xdr:cNvSpPr>
          <a:spLocks noChangeShapeType="1"/>
        </xdr:cNvSpPr>
      </xdr:nvSpPr>
      <xdr:spPr bwMode="auto">
        <a:xfrm flipH="1">
          <a:off x="36804600" y="2419350"/>
          <a:ext cx="0" cy="762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130</xdr:col>
      <xdr:colOff>171450</xdr:colOff>
      <xdr:row>16</xdr:row>
      <xdr:rowOff>0</xdr:rowOff>
    </xdr:from>
    <xdr:to>
      <xdr:col>130</xdr:col>
      <xdr:colOff>152400</xdr:colOff>
      <xdr:row>16</xdr:row>
      <xdr:rowOff>76200</xdr:rowOff>
    </xdr:to>
    <xdr:sp macro="" textlink="">
      <xdr:nvSpPr>
        <xdr:cNvPr id="719693" name="Line 566">
          <a:extLst>
            <a:ext uri="{FF2B5EF4-FFF2-40B4-BE49-F238E27FC236}">
              <a16:creationId xmlns:a16="http://schemas.microsoft.com/office/drawing/2014/main" id="{00000000-0008-0000-0000-00004DFB0A00}"/>
            </a:ext>
          </a:extLst>
        </xdr:cNvPr>
        <xdr:cNvSpPr>
          <a:spLocks noChangeShapeType="1"/>
        </xdr:cNvSpPr>
      </xdr:nvSpPr>
      <xdr:spPr bwMode="auto">
        <a:xfrm flipH="1">
          <a:off x="37414200" y="2638425"/>
          <a:ext cx="0" cy="762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131</xdr:col>
      <xdr:colOff>0</xdr:colOff>
      <xdr:row>16</xdr:row>
      <xdr:rowOff>9525</xdr:rowOff>
    </xdr:from>
    <xdr:to>
      <xdr:col>131</xdr:col>
      <xdr:colOff>85725</xdr:colOff>
      <xdr:row>16</xdr:row>
      <xdr:rowOff>38100</xdr:rowOff>
    </xdr:to>
    <xdr:sp macro="" textlink="">
      <xdr:nvSpPr>
        <xdr:cNvPr id="719694" name="Line 567">
          <a:extLst>
            <a:ext uri="{FF2B5EF4-FFF2-40B4-BE49-F238E27FC236}">
              <a16:creationId xmlns:a16="http://schemas.microsoft.com/office/drawing/2014/main" id="{00000000-0008-0000-0000-00004EFB0A00}"/>
            </a:ext>
          </a:extLst>
        </xdr:cNvPr>
        <xdr:cNvSpPr>
          <a:spLocks noChangeShapeType="1"/>
        </xdr:cNvSpPr>
      </xdr:nvSpPr>
      <xdr:spPr bwMode="auto">
        <a:xfrm flipV="1">
          <a:off x="37414200" y="2647950"/>
          <a:ext cx="85725" cy="28575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144</xdr:col>
      <xdr:colOff>200025</xdr:colOff>
      <xdr:row>16</xdr:row>
      <xdr:rowOff>38100</xdr:rowOff>
    </xdr:from>
    <xdr:to>
      <xdr:col>145</xdr:col>
      <xdr:colOff>38100</xdr:colOff>
      <xdr:row>16</xdr:row>
      <xdr:rowOff>76200</xdr:rowOff>
    </xdr:to>
    <xdr:sp macro="" textlink="">
      <xdr:nvSpPr>
        <xdr:cNvPr id="719695" name="Line 576">
          <a:extLst>
            <a:ext uri="{FF2B5EF4-FFF2-40B4-BE49-F238E27FC236}">
              <a16:creationId xmlns:a16="http://schemas.microsoft.com/office/drawing/2014/main" id="{00000000-0008-0000-0000-00004FFB0A00}"/>
            </a:ext>
          </a:extLst>
        </xdr:cNvPr>
        <xdr:cNvSpPr>
          <a:spLocks noChangeShapeType="1"/>
        </xdr:cNvSpPr>
      </xdr:nvSpPr>
      <xdr:spPr bwMode="auto">
        <a:xfrm flipV="1">
          <a:off x="41986200" y="2676525"/>
          <a:ext cx="85725" cy="381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145</xdr:col>
      <xdr:colOff>38100</xdr:colOff>
      <xdr:row>16</xdr:row>
      <xdr:rowOff>0</xdr:rowOff>
    </xdr:from>
    <xdr:to>
      <xdr:col>145</xdr:col>
      <xdr:colOff>38100</xdr:colOff>
      <xdr:row>16</xdr:row>
      <xdr:rowOff>76200</xdr:rowOff>
    </xdr:to>
    <xdr:sp macro="" textlink="">
      <xdr:nvSpPr>
        <xdr:cNvPr id="719696" name="Line 577">
          <a:extLst>
            <a:ext uri="{FF2B5EF4-FFF2-40B4-BE49-F238E27FC236}">
              <a16:creationId xmlns:a16="http://schemas.microsoft.com/office/drawing/2014/main" id="{00000000-0008-0000-0000-000050FB0A00}"/>
            </a:ext>
          </a:extLst>
        </xdr:cNvPr>
        <xdr:cNvSpPr>
          <a:spLocks noChangeShapeType="1"/>
        </xdr:cNvSpPr>
      </xdr:nvSpPr>
      <xdr:spPr bwMode="auto">
        <a:xfrm flipH="1">
          <a:off x="42071925" y="2638425"/>
          <a:ext cx="0" cy="762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323850</xdr:colOff>
          <xdr:row>47</xdr:row>
          <xdr:rowOff>69850</xdr:rowOff>
        </xdr:from>
        <xdr:to>
          <xdr:col>22</xdr:col>
          <xdr:colOff>25400</xdr:colOff>
          <xdr:row>48</xdr:row>
          <xdr:rowOff>107950</xdr:rowOff>
        </xdr:to>
        <xdr:sp macro="" textlink="">
          <xdr:nvSpPr>
            <xdr:cNvPr id="1613" name="CommandButton11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0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68686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514350</xdr:colOff>
          <xdr:row>47</xdr:row>
          <xdr:rowOff>69850</xdr:rowOff>
        </xdr:from>
        <xdr:to>
          <xdr:col>16</xdr:col>
          <xdr:colOff>273050</xdr:colOff>
          <xdr:row>48</xdr:row>
          <xdr:rowOff>107950</xdr:rowOff>
        </xdr:to>
        <xdr:sp macro="" textlink="">
          <xdr:nvSpPr>
            <xdr:cNvPr id="1614" name="CommandButton12" hidden="1">
              <a:extLst>
                <a:ext uri="{63B3BB69-23CF-44E3-9099-C40C66FF867C}">
                  <a14:compatExt spid="_x0000_s1614"/>
                </a:ext>
                <a:ext uri="{FF2B5EF4-FFF2-40B4-BE49-F238E27FC236}">
                  <a16:creationId xmlns:a16="http://schemas.microsoft.com/office/drawing/2014/main" id="{00000000-0008-0000-0000-00004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68686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12700</xdr:colOff>
          <xdr:row>47</xdr:row>
          <xdr:rowOff>69850</xdr:rowOff>
        </xdr:from>
        <xdr:to>
          <xdr:col>31</xdr:col>
          <xdr:colOff>146050</xdr:colOff>
          <xdr:row>48</xdr:row>
          <xdr:rowOff>107950</xdr:rowOff>
        </xdr:to>
        <xdr:sp macro="" textlink="">
          <xdr:nvSpPr>
            <xdr:cNvPr id="1645" name="CommandButton13" hidden="1">
              <a:extLst>
                <a:ext uri="{63B3BB69-23CF-44E3-9099-C40C66FF867C}">
                  <a14:compatExt spid="_x0000_s1645"/>
                </a:ext>
                <a:ext uri="{FF2B5EF4-FFF2-40B4-BE49-F238E27FC236}">
                  <a16:creationId xmlns:a16="http://schemas.microsoft.com/office/drawing/2014/main" id="{00000000-0008-0000-0000-00006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68686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69850</xdr:colOff>
          <xdr:row>47</xdr:row>
          <xdr:rowOff>69850</xdr:rowOff>
        </xdr:from>
        <xdr:to>
          <xdr:col>34</xdr:col>
          <xdr:colOff>114300</xdr:colOff>
          <xdr:row>48</xdr:row>
          <xdr:rowOff>107950</xdr:rowOff>
        </xdr:to>
        <xdr:sp macro="" textlink="">
          <xdr:nvSpPr>
            <xdr:cNvPr id="1646" name="CommandButton14" hidden="1">
              <a:extLst>
                <a:ext uri="{63B3BB69-23CF-44E3-9099-C40C66FF867C}">
                  <a14:compatExt spid="_x0000_s1646"/>
                </a:ext>
                <a:ext uri="{FF2B5EF4-FFF2-40B4-BE49-F238E27FC236}">
                  <a16:creationId xmlns:a16="http://schemas.microsoft.com/office/drawing/2014/main" id="{00000000-0008-0000-0000-00006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68686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323850</xdr:colOff>
          <xdr:row>1</xdr:row>
          <xdr:rowOff>146050</xdr:rowOff>
        </xdr:from>
        <xdr:to>
          <xdr:col>17</xdr:col>
          <xdr:colOff>50800</xdr:colOff>
          <xdr:row>3</xdr:row>
          <xdr:rowOff>107950</xdr:rowOff>
        </xdr:to>
        <xdr:sp macro="" textlink="">
          <xdr:nvSpPr>
            <xdr:cNvPr id="1653" name="CommandButton10" hidden="1">
              <a:extLst>
                <a:ext uri="{63B3BB69-23CF-44E3-9099-C40C66FF867C}">
                  <a14:compatExt spid="_x0000_s1653"/>
                </a:ext>
                <a:ext uri="{FF2B5EF4-FFF2-40B4-BE49-F238E27FC236}">
                  <a16:creationId xmlns:a16="http://schemas.microsoft.com/office/drawing/2014/main" id="{00000000-0008-0000-0000-00007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68686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  <xdr:twoCellAnchor>
    <xdr:from>
      <xdr:col>5</xdr:col>
      <xdr:colOff>9525</xdr:colOff>
      <xdr:row>20</xdr:row>
      <xdr:rowOff>9525</xdr:rowOff>
    </xdr:from>
    <xdr:to>
      <xdr:col>9</xdr:col>
      <xdr:colOff>0</xdr:colOff>
      <xdr:row>20</xdr:row>
      <xdr:rowOff>9525</xdr:rowOff>
    </xdr:to>
    <xdr:cxnSp macro="">
      <xdr:nvCxnSpPr>
        <xdr:cNvPr id="719697" name="Conexão reta unidirecional 6">
          <a:extLst>
            <a:ext uri="{FF2B5EF4-FFF2-40B4-BE49-F238E27FC236}">
              <a16:creationId xmlns:a16="http://schemas.microsoft.com/office/drawing/2014/main" id="{00000000-0008-0000-0000-000051FB0A00}"/>
            </a:ext>
          </a:extLst>
        </xdr:cNvPr>
        <xdr:cNvCxnSpPr>
          <a:cxnSpLocks noChangeShapeType="1"/>
        </xdr:cNvCxnSpPr>
      </xdr:nvCxnSpPr>
      <xdr:spPr bwMode="auto">
        <a:xfrm flipH="1">
          <a:off x="542925" y="3133725"/>
          <a:ext cx="1333500" cy="0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arrow" w="sm" len="sm"/>
          <a:tailEnd type="arrow" w="sm" len="sm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68686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114300</xdr:colOff>
      <xdr:row>21</xdr:row>
      <xdr:rowOff>9525</xdr:rowOff>
    </xdr:from>
    <xdr:to>
      <xdr:col>27</xdr:col>
      <xdr:colOff>0</xdr:colOff>
      <xdr:row>21</xdr:row>
      <xdr:rowOff>9525</xdr:rowOff>
    </xdr:to>
    <xdr:cxnSp macro="">
      <xdr:nvCxnSpPr>
        <xdr:cNvPr id="719698" name="Conexão reta unidirecional 336">
          <a:extLst>
            <a:ext uri="{FF2B5EF4-FFF2-40B4-BE49-F238E27FC236}">
              <a16:creationId xmlns:a16="http://schemas.microsoft.com/office/drawing/2014/main" id="{00000000-0008-0000-0000-000052FB0A00}"/>
            </a:ext>
          </a:extLst>
        </xdr:cNvPr>
        <xdr:cNvCxnSpPr>
          <a:cxnSpLocks noChangeShapeType="1"/>
        </xdr:cNvCxnSpPr>
      </xdr:nvCxnSpPr>
      <xdr:spPr bwMode="auto">
        <a:xfrm flipH="1" flipV="1">
          <a:off x="6276975" y="3295650"/>
          <a:ext cx="1152525" cy="0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arrow" w="sm" len="sm"/>
          <a:tailEnd type="arrow" w="sm" len="sm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68686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0</xdr:colOff>
      <xdr:row>11</xdr:row>
      <xdr:rowOff>28575</xdr:rowOff>
    </xdr:from>
    <xdr:to>
      <xdr:col>9</xdr:col>
      <xdr:colOff>333375</xdr:colOff>
      <xdr:row>11</xdr:row>
      <xdr:rowOff>28575</xdr:rowOff>
    </xdr:to>
    <xdr:cxnSp macro="">
      <xdr:nvCxnSpPr>
        <xdr:cNvPr id="719699" name="Conexão reta unidirecional 338">
          <a:extLst>
            <a:ext uri="{FF2B5EF4-FFF2-40B4-BE49-F238E27FC236}">
              <a16:creationId xmlns:a16="http://schemas.microsoft.com/office/drawing/2014/main" id="{00000000-0008-0000-0000-000053FB0A00}"/>
            </a:ext>
          </a:extLst>
        </xdr:cNvPr>
        <xdr:cNvCxnSpPr>
          <a:cxnSpLocks noChangeShapeType="1"/>
        </xdr:cNvCxnSpPr>
      </xdr:nvCxnSpPr>
      <xdr:spPr bwMode="auto">
        <a:xfrm flipH="1">
          <a:off x="533400" y="1857375"/>
          <a:ext cx="1676400" cy="0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arrow" w="sm" len="sm"/>
          <a:tailEnd type="arrow" w="sm" len="sm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68686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85725</xdr:colOff>
      <xdr:row>11</xdr:row>
      <xdr:rowOff>28575</xdr:rowOff>
    </xdr:from>
    <xdr:to>
      <xdr:col>21</xdr:col>
      <xdr:colOff>9525</xdr:colOff>
      <xdr:row>11</xdr:row>
      <xdr:rowOff>28575</xdr:rowOff>
    </xdr:to>
    <xdr:cxnSp macro="">
      <xdr:nvCxnSpPr>
        <xdr:cNvPr id="719700" name="Conexão reta unidirecional 342">
          <a:extLst>
            <a:ext uri="{FF2B5EF4-FFF2-40B4-BE49-F238E27FC236}">
              <a16:creationId xmlns:a16="http://schemas.microsoft.com/office/drawing/2014/main" id="{00000000-0008-0000-0000-000054FB0A00}"/>
            </a:ext>
          </a:extLst>
        </xdr:cNvPr>
        <xdr:cNvCxnSpPr>
          <a:cxnSpLocks noChangeShapeType="1"/>
        </xdr:cNvCxnSpPr>
      </xdr:nvCxnSpPr>
      <xdr:spPr bwMode="auto">
        <a:xfrm flipH="1" flipV="1">
          <a:off x="3857625" y="1857375"/>
          <a:ext cx="2066925" cy="0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arrow" w="sm" len="sm"/>
          <a:tailEnd type="arrow" w="sm" len="sm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68686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0</xdr:colOff>
      <xdr:row>20</xdr:row>
      <xdr:rowOff>9525</xdr:rowOff>
    </xdr:from>
    <xdr:to>
      <xdr:col>19</xdr:col>
      <xdr:colOff>0</xdr:colOff>
      <xdr:row>20</xdr:row>
      <xdr:rowOff>19050</xdr:rowOff>
    </xdr:to>
    <xdr:cxnSp macro="">
      <xdr:nvCxnSpPr>
        <xdr:cNvPr id="719701" name="Conexão reta unidirecional 353">
          <a:extLst>
            <a:ext uri="{FF2B5EF4-FFF2-40B4-BE49-F238E27FC236}">
              <a16:creationId xmlns:a16="http://schemas.microsoft.com/office/drawing/2014/main" id="{00000000-0008-0000-0000-000055FB0A00}"/>
            </a:ext>
          </a:extLst>
        </xdr:cNvPr>
        <xdr:cNvCxnSpPr>
          <a:cxnSpLocks noChangeShapeType="1"/>
        </xdr:cNvCxnSpPr>
      </xdr:nvCxnSpPr>
      <xdr:spPr bwMode="auto">
        <a:xfrm flipH="1" flipV="1">
          <a:off x="3771900" y="3133725"/>
          <a:ext cx="1838325" cy="9525"/>
        </a:xfrm>
        <a:prstGeom prst="straightConnector1">
          <a:avLst/>
        </a:prstGeom>
        <a:noFill/>
        <a:ln w="0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arrow" w="sm" len="sm"/>
          <a:tailEnd type="arrow" w="sm" len="sm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68686"/>
                </a:outerShdw>
              </a:effectLst>
            </a14:hiddenEffects>
          </a:ext>
        </a:extLst>
      </xdr:spPr>
    </xdr:cxnSp>
    <xdr:clientData/>
  </xdr:twoCellAnchor>
  <xdr:twoCellAnchor>
    <xdr:from>
      <xdr:col>21</xdr:col>
      <xdr:colOff>0</xdr:colOff>
      <xdr:row>11</xdr:row>
      <xdr:rowOff>28575</xdr:rowOff>
    </xdr:from>
    <xdr:to>
      <xdr:col>27</xdr:col>
      <xdr:colOff>352425</xdr:colOff>
      <xdr:row>11</xdr:row>
      <xdr:rowOff>28575</xdr:rowOff>
    </xdr:to>
    <xdr:cxnSp macro="">
      <xdr:nvCxnSpPr>
        <xdr:cNvPr id="719702" name="Conexão reta unidirecional 355">
          <a:extLst>
            <a:ext uri="{FF2B5EF4-FFF2-40B4-BE49-F238E27FC236}">
              <a16:creationId xmlns:a16="http://schemas.microsoft.com/office/drawing/2014/main" id="{00000000-0008-0000-0000-000056FB0A00}"/>
            </a:ext>
          </a:extLst>
        </xdr:cNvPr>
        <xdr:cNvCxnSpPr>
          <a:cxnSpLocks noChangeShapeType="1"/>
        </xdr:cNvCxnSpPr>
      </xdr:nvCxnSpPr>
      <xdr:spPr bwMode="auto">
        <a:xfrm flipH="1">
          <a:off x="5915025" y="1857375"/>
          <a:ext cx="1866900" cy="0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arrow" w="sm" len="sm"/>
          <a:tailEnd type="arrow" w="sm" len="sm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68686"/>
                </a:outerShdw>
              </a:effectLst>
            </a14:hiddenEffects>
          </a:ext>
        </a:extLst>
      </xdr:spPr>
    </xdr:cxnSp>
    <xdr:clientData/>
  </xdr:twoCellAnchor>
  <xdr:twoCellAnchor>
    <xdr:from>
      <xdr:col>32</xdr:col>
      <xdr:colOff>0</xdr:colOff>
      <xdr:row>21</xdr:row>
      <xdr:rowOff>19050</xdr:rowOff>
    </xdr:from>
    <xdr:to>
      <xdr:col>37</xdr:col>
      <xdr:colOff>9525</xdr:colOff>
      <xdr:row>21</xdr:row>
      <xdr:rowOff>28575</xdr:rowOff>
    </xdr:to>
    <xdr:cxnSp macro="">
      <xdr:nvCxnSpPr>
        <xdr:cNvPr id="719703" name="Conexão reta unidirecional 357">
          <a:extLst>
            <a:ext uri="{FF2B5EF4-FFF2-40B4-BE49-F238E27FC236}">
              <a16:creationId xmlns:a16="http://schemas.microsoft.com/office/drawing/2014/main" id="{00000000-0008-0000-0000-000057FB0A00}"/>
            </a:ext>
          </a:extLst>
        </xdr:cNvPr>
        <xdr:cNvCxnSpPr>
          <a:cxnSpLocks noChangeShapeType="1"/>
        </xdr:cNvCxnSpPr>
      </xdr:nvCxnSpPr>
      <xdr:spPr bwMode="auto">
        <a:xfrm flipH="1" flipV="1">
          <a:off x="9144000" y="3305175"/>
          <a:ext cx="1476375" cy="9525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arrow" w="sm" len="sm"/>
          <a:tailEnd type="arrow" w="sm" len="sm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68686"/>
                </a:outerShdw>
              </a:effectLst>
            </a14:hiddenEffects>
          </a:ext>
        </a:extLst>
      </xdr:spPr>
    </xdr:cxnSp>
    <xdr:clientData/>
  </xdr:twoCellAnchor>
  <xdr:twoCellAnchor>
    <xdr:from>
      <xdr:col>32</xdr:col>
      <xdr:colOff>0</xdr:colOff>
      <xdr:row>11</xdr:row>
      <xdr:rowOff>38100</xdr:rowOff>
    </xdr:from>
    <xdr:to>
      <xdr:col>39</xdr:col>
      <xdr:colOff>9525</xdr:colOff>
      <xdr:row>11</xdr:row>
      <xdr:rowOff>47625</xdr:rowOff>
    </xdr:to>
    <xdr:cxnSp macro="">
      <xdr:nvCxnSpPr>
        <xdr:cNvPr id="719704" name="Conexão reta unidirecional 359">
          <a:extLst>
            <a:ext uri="{FF2B5EF4-FFF2-40B4-BE49-F238E27FC236}">
              <a16:creationId xmlns:a16="http://schemas.microsoft.com/office/drawing/2014/main" id="{00000000-0008-0000-0000-000058FB0A00}"/>
            </a:ext>
          </a:extLst>
        </xdr:cNvPr>
        <xdr:cNvCxnSpPr>
          <a:cxnSpLocks noChangeShapeType="1"/>
        </xdr:cNvCxnSpPr>
      </xdr:nvCxnSpPr>
      <xdr:spPr bwMode="auto">
        <a:xfrm flipH="1" flipV="1">
          <a:off x="9144000" y="1866900"/>
          <a:ext cx="1800225" cy="9525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arrow" w="sm" len="sm"/>
          <a:tailEnd type="arrow" w="sm" len="sm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68686"/>
                </a:outerShdw>
              </a:effectLst>
            </a14:hiddenEffects>
          </a:ext>
        </a:extLst>
      </xdr:spPr>
    </xdr:cxnSp>
    <xdr:clientData/>
  </xdr:twoCellAnchor>
  <xdr:twoCellAnchor>
    <xdr:from>
      <xdr:col>27</xdr:col>
      <xdr:colOff>19050</xdr:colOff>
      <xdr:row>12</xdr:row>
      <xdr:rowOff>9525</xdr:rowOff>
    </xdr:from>
    <xdr:to>
      <xdr:col>27</xdr:col>
      <xdr:colOff>66675</xdr:colOff>
      <xdr:row>12</xdr:row>
      <xdr:rowOff>114300</xdr:rowOff>
    </xdr:to>
    <xdr:sp macro="" textlink="">
      <xdr:nvSpPr>
        <xdr:cNvPr id="719705" name="Chaveta à direita 24">
          <a:extLst>
            <a:ext uri="{FF2B5EF4-FFF2-40B4-BE49-F238E27FC236}">
              <a16:creationId xmlns:a16="http://schemas.microsoft.com/office/drawing/2014/main" id="{00000000-0008-0000-0000-000059FB0A00}"/>
            </a:ext>
          </a:extLst>
        </xdr:cNvPr>
        <xdr:cNvSpPr>
          <a:spLocks/>
        </xdr:cNvSpPr>
      </xdr:nvSpPr>
      <xdr:spPr bwMode="auto">
        <a:xfrm>
          <a:off x="7448550" y="2000250"/>
          <a:ext cx="47625" cy="104775"/>
        </a:xfrm>
        <a:prstGeom prst="rightBrace">
          <a:avLst>
            <a:gd name="adj1" fmla="val 8067"/>
            <a:gd name="adj2" fmla="val 50000"/>
          </a:avLst>
        </a:prstGeom>
        <a:solidFill>
          <a:srgbClr val="FFFFFF"/>
        </a:solidFill>
        <a:ln w="9525" algn="ctr">
          <a:solidFill>
            <a:srgbClr val="7030A0"/>
          </a:solidFill>
          <a:round/>
          <a:headEnd/>
          <a:tailEnd/>
        </a:ln>
      </xdr:spPr>
    </xdr:sp>
    <xdr:clientData/>
  </xdr:twoCellAnchor>
  <xdr:twoCellAnchor>
    <xdr:from>
      <xdr:col>27</xdr:col>
      <xdr:colOff>200025</xdr:colOff>
      <xdr:row>10</xdr:row>
      <xdr:rowOff>95250</xdr:rowOff>
    </xdr:from>
    <xdr:to>
      <xdr:col>28</xdr:col>
      <xdr:colOff>0</xdr:colOff>
      <xdr:row>12</xdr:row>
      <xdr:rowOff>47625</xdr:rowOff>
    </xdr:to>
    <xdr:cxnSp macro="">
      <xdr:nvCxnSpPr>
        <xdr:cNvPr id="719706" name="Conexão em ângulos retos 26">
          <a:extLst>
            <a:ext uri="{FF2B5EF4-FFF2-40B4-BE49-F238E27FC236}">
              <a16:creationId xmlns:a16="http://schemas.microsoft.com/office/drawing/2014/main" id="{00000000-0008-0000-0000-00005AFB0A00}"/>
            </a:ext>
          </a:extLst>
        </xdr:cNvPr>
        <xdr:cNvCxnSpPr>
          <a:cxnSpLocks noChangeShapeType="1"/>
        </xdr:cNvCxnSpPr>
      </xdr:nvCxnSpPr>
      <xdr:spPr bwMode="auto">
        <a:xfrm flipV="1">
          <a:off x="7629525" y="1762125"/>
          <a:ext cx="485775" cy="276225"/>
        </a:xfrm>
        <a:prstGeom prst="bentConnector3">
          <a:avLst>
            <a:gd name="adj1" fmla="val 50000"/>
          </a:avLst>
        </a:prstGeom>
        <a:noFill/>
        <a:ln w="9525" algn="ctr">
          <a:solidFill>
            <a:srgbClr val="7030A0"/>
          </a:solidFill>
          <a:round/>
          <a:headEnd/>
          <a:tailEnd type="triangle" w="sm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68686"/>
                </a:outerShdw>
              </a:effectLst>
            </a14:hiddenEffects>
          </a:ext>
        </a:extLst>
      </xdr:spPr>
    </xdr:cxnSp>
    <xdr:clientData/>
  </xdr:twoCellAnchor>
  <xdr:twoCellAnchor>
    <xdr:from>
      <xdr:col>2</xdr:col>
      <xdr:colOff>47625</xdr:colOff>
      <xdr:row>24</xdr:row>
      <xdr:rowOff>47625</xdr:rowOff>
    </xdr:from>
    <xdr:to>
      <xdr:col>3</xdr:col>
      <xdr:colOff>57150</xdr:colOff>
      <xdr:row>25</xdr:row>
      <xdr:rowOff>47625</xdr:rowOff>
    </xdr:to>
    <xdr:sp macro="" textlink="">
      <xdr:nvSpPr>
        <xdr:cNvPr id="719707" name="Line 485">
          <a:extLst>
            <a:ext uri="{FF2B5EF4-FFF2-40B4-BE49-F238E27FC236}">
              <a16:creationId xmlns:a16="http://schemas.microsoft.com/office/drawing/2014/main" id="{00000000-0008-0000-0000-00005BFB0A00}"/>
            </a:ext>
          </a:extLst>
        </xdr:cNvPr>
        <xdr:cNvSpPr>
          <a:spLocks noChangeShapeType="1"/>
        </xdr:cNvSpPr>
      </xdr:nvSpPr>
      <xdr:spPr bwMode="auto">
        <a:xfrm flipV="1">
          <a:off x="257175" y="3838575"/>
          <a:ext cx="104775" cy="952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9525</xdr:colOff>
      <xdr:row>11</xdr:row>
      <xdr:rowOff>47625</xdr:rowOff>
    </xdr:from>
    <xdr:to>
      <xdr:col>45</xdr:col>
      <xdr:colOff>342900</xdr:colOff>
      <xdr:row>11</xdr:row>
      <xdr:rowOff>47625</xdr:rowOff>
    </xdr:to>
    <xdr:cxnSp macro="">
      <xdr:nvCxnSpPr>
        <xdr:cNvPr id="719708" name="Conexão reta unidirecional 359">
          <a:extLst>
            <a:ext uri="{FF2B5EF4-FFF2-40B4-BE49-F238E27FC236}">
              <a16:creationId xmlns:a16="http://schemas.microsoft.com/office/drawing/2014/main" id="{00000000-0008-0000-0000-00005CFB0A00}"/>
            </a:ext>
          </a:extLst>
        </xdr:cNvPr>
        <xdr:cNvCxnSpPr>
          <a:cxnSpLocks noChangeShapeType="1"/>
        </xdr:cNvCxnSpPr>
      </xdr:nvCxnSpPr>
      <xdr:spPr bwMode="auto">
        <a:xfrm flipH="1">
          <a:off x="10944225" y="1876425"/>
          <a:ext cx="1781175" cy="0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arrow" w="sm" len="sm"/>
          <a:tailEnd type="arrow" w="sm" len="sm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68686"/>
                </a:outerShdw>
              </a:effectLst>
            </a14:hiddenEffects>
          </a:ext>
        </a:extLst>
      </xdr:spPr>
    </xdr:cxnSp>
    <xdr:clientData/>
  </xdr:twoCellAnchor>
  <xdr:twoCellAnchor>
    <xdr:from>
      <xdr:col>40</xdr:col>
      <xdr:colOff>142875</xdr:colOff>
      <xdr:row>20</xdr:row>
      <xdr:rowOff>9525</xdr:rowOff>
    </xdr:from>
    <xdr:to>
      <xdr:col>45</xdr:col>
      <xdr:colOff>9525</xdr:colOff>
      <xdr:row>20</xdr:row>
      <xdr:rowOff>9525</xdr:rowOff>
    </xdr:to>
    <xdr:cxnSp macro="">
      <xdr:nvCxnSpPr>
        <xdr:cNvPr id="719709" name="Conexão reta unidirecional 357">
          <a:extLst>
            <a:ext uri="{FF2B5EF4-FFF2-40B4-BE49-F238E27FC236}">
              <a16:creationId xmlns:a16="http://schemas.microsoft.com/office/drawing/2014/main" id="{00000000-0008-0000-0000-00005DFB0A00}"/>
            </a:ext>
          </a:extLst>
        </xdr:cNvPr>
        <xdr:cNvCxnSpPr>
          <a:cxnSpLocks noChangeShapeType="1"/>
        </xdr:cNvCxnSpPr>
      </xdr:nvCxnSpPr>
      <xdr:spPr bwMode="auto">
        <a:xfrm flipH="1" flipV="1">
          <a:off x="11229975" y="3133725"/>
          <a:ext cx="1162050" cy="0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arrow" w="sm" len="sm"/>
          <a:tailEnd type="arrow" w="sm" len="sm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68686"/>
                </a:outerShdw>
              </a:effectLst>
            </a14:hiddenEffects>
          </a:ext>
        </a:extLst>
      </xdr:spPr>
    </xdr:cxnSp>
    <xdr:clientData/>
  </xdr:twoCellAnchor>
  <xdr:twoCellAnchor>
    <xdr:from>
      <xdr:col>50</xdr:col>
      <xdr:colOff>0</xdr:colOff>
      <xdr:row>19</xdr:row>
      <xdr:rowOff>152400</xdr:rowOff>
    </xdr:from>
    <xdr:to>
      <xdr:col>55</xdr:col>
      <xdr:colOff>9525</xdr:colOff>
      <xdr:row>19</xdr:row>
      <xdr:rowOff>152400</xdr:rowOff>
    </xdr:to>
    <xdr:cxnSp macro="">
      <xdr:nvCxnSpPr>
        <xdr:cNvPr id="719710" name="Conexão reta unidirecional 357">
          <a:extLst>
            <a:ext uri="{FF2B5EF4-FFF2-40B4-BE49-F238E27FC236}">
              <a16:creationId xmlns:a16="http://schemas.microsoft.com/office/drawing/2014/main" id="{00000000-0008-0000-0000-00005EFB0A00}"/>
            </a:ext>
          </a:extLst>
        </xdr:cNvPr>
        <xdr:cNvCxnSpPr>
          <a:cxnSpLocks noChangeShapeType="1"/>
        </xdr:cNvCxnSpPr>
      </xdr:nvCxnSpPr>
      <xdr:spPr bwMode="auto">
        <a:xfrm flipH="1">
          <a:off x="14277975" y="3114675"/>
          <a:ext cx="1571625" cy="0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arrow" w="sm" len="sm"/>
          <a:tailEnd type="arrow" w="sm" len="sm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68686"/>
                </a:outerShdw>
              </a:effectLst>
            </a14:hiddenEffects>
          </a:ext>
        </a:extLst>
      </xdr:spPr>
    </xdr:cxnSp>
    <xdr:clientData/>
  </xdr:twoCellAnchor>
  <xdr:twoCellAnchor>
    <xdr:from>
      <xdr:col>50</xdr:col>
      <xdr:colOff>66675</xdr:colOff>
      <xdr:row>11</xdr:row>
      <xdr:rowOff>57150</xdr:rowOff>
    </xdr:from>
    <xdr:to>
      <xdr:col>57</xdr:col>
      <xdr:colOff>0</xdr:colOff>
      <xdr:row>11</xdr:row>
      <xdr:rowOff>57150</xdr:rowOff>
    </xdr:to>
    <xdr:cxnSp macro="">
      <xdr:nvCxnSpPr>
        <xdr:cNvPr id="719711" name="Conexão reta unidirecional 359">
          <a:extLst>
            <a:ext uri="{FF2B5EF4-FFF2-40B4-BE49-F238E27FC236}">
              <a16:creationId xmlns:a16="http://schemas.microsoft.com/office/drawing/2014/main" id="{00000000-0008-0000-0000-00005FFB0A00}"/>
            </a:ext>
          </a:extLst>
        </xdr:cNvPr>
        <xdr:cNvCxnSpPr>
          <a:cxnSpLocks noChangeShapeType="1"/>
        </xdr:cNvCxnSpPr>
      </xdr:nvCxnSpPr>
      <xdr:spPr bwMode="auto">
        <a:xfrm flipH="1" flipV="1">
          <a:off x="14344650" y="1885950"/>
          <a:ext cx="1800225" cy="0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arrow" w="sm" len="sm"/>
          <a:tailEnd type="arrow" w="sm" len="sm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68686"/>
                </a:outerShdw>
              </a:effectLst>
            </a14:hiddenEffects>
          </a:ext>
        </a:extLst>
      </xdr:spPr>
    </xdr:cxnSp>
    <xdr:clientData/>
  </xdr:twoCellAnchor>
  <xdr:twoCellAnchor>
    <xdr:from>
      <xdr:col>57</xdr:col>
      <xdr:colOff>0</xdr:colOff>
      <xdr:row>11</xdr:row>
      <xdr:rowOff>57150</xdr:rowOff>
    </xdr:from>
    <xdr:to>
      <xdr:col>63</xdr:col>
      <xdr:colOff>342900</xdr:colOff>
      <xdr:row>11</xdr:row>
      <xdr:rowOff>57150</xdr:rowOff>
    </xdr:to>
    <xdr:cxnSp macro="">
      <xdr:nvCxnSpPr>
        <xdr:cNvPr id="719712" name="Conexão reta unidirecional 359">
          <a:extLst>
            <a:ext uri="{FF2B5EF4-FFF2-40B4-BE49-F238E27FC236}">
              <a16:creationId xmlns:a16="http://schemas.microsoft.com/office/drawing/2014/main" id="{00000000-0008-0000-0000-000060FB0A00}"/>
            </a:ext>
          </a:extLst>
        </xdr:cNvPr>
        <xdr:cNvCxnSpPr>
          <a:cxnSpLocks noChangeShapeType="1"/>
        </xdr:cNvCxnSpPr>
      </xdr:nvCxnSpPr>
      <xdr:spPr bwMode="auto">
        <a:xfrm flipH="1">
          <a:off x="16144875" y="1885950"/>
          <a:ext cx="1819275" cy="0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arrow" w="sm" len="sm"/>
          <a:tailEnd type="arrow" w="sm" len="sm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68686"/>
                </a:outerShdw>
              </a:effectLst>
            </a14:hiddenEffects>
          </a:ext>
        </a:extLst>
      </xdr:spPr>
    </xdr:cxnSp>
    <xdr:clientData/>
  </xdr:twoCellAnchor>
  <xdr:twoCellAnchor>
    <xdr:from>
      <xdr:col>99</xdr:col>
      <xdr:colOff>19050</xdr:colOff>
      <xdr:row>12</xdr:row>
      <xdr:rowOff>9525</xdr:rowOff>
    </xdr:from>
    <xdr:to>
      <xdr:col>99</xdr:col>
      <xdr:colOff>66675</xdr:colOff>
      <xdr:row>12</xdr:row>
      <xdr:rowOff>114300</xdr:rowOff>
    </xdr:to>
    <xdr:sp macro="" textlink="">
      <xdr:nvSpPr>
        <xdr:cNvPr id="719713" name="Chaveta à direita 24">
          <a:extLst>
            <a:ext uri="{FF2B5EF4-FFF2-40B4-BE49-F238E27FC236}">
              <a16:creationId xmlns:a16="http://schemas.microsoft.com/office/drawing/2014/main" id="{00000000-0008-0000-0000-000061FB0A00}"/>
            </a:ext>
          </a:extLst>
        </xdr:cNvPr>
        <xdr:cNvSpPr>
          <a:spLocks/>
        </xdr:cNvSpPr>
      </xdr:nvSpPr>
      <xdr:spPr bwMode="auto">
        <a:xfrm>
          <a:off x="28127325" y="2000250"/>
          <a:ext cx="47625" cy="104775"/>
        </a:xfrm>
        <a:prstGeom prst="rightBrace">
          <a:avLst>
            <a:gd name="adj1" fmla="val 8067"/>
            <a:gd name="adj2" fmla="val 50000"/>
          </a:avLst>
        </a:prstGeom>
        <a:solidFill>
          <a:srgbClr val="FFFFFF"/>
        </a:solidFill>
        <a:ln w="9525" algn="ctr">
          <a:solidFill>
            <a:srgbClr val="7030A0"/>
          </a:solidFill>
          <a:round/>
          <a:headEnd/>
          <a:tailEnd/>
        </a:ln>
      </xdr:spPr>
    </xdr:sp>
    <xdr:clientData/>
  </xdr:twoCellAnchor>
  <xdr:twoCellAnchor>
    <xdr:from>
      <xdr:col>99</xdr:col>
      <xdr:colOff>161925</xdr:colOff>
      <xdr:row>10</xdr:row>
      <xdr:rowOff>104775</xdr:rowOff>
    </xdr:from>
    <xdr:to>
      <xdr:col>99</xdr:col>
      <xdr:colOff>828675</xdr:colOff>
      <xdr:row>12</xdr:row>
      <xdr:rowOff>57150</xdr:rowOff>
    </xdr:to>
    <xdr:cxnSp macro="">
      <xdr:nvCxnSpPr>
        <xdr:cNvPr id="719714" name="Conexão em ângulos retos 26">
          <a:extLst>
            <a:ext uri="{FF2B5EF4-FFF2-40B4-BE49-F238E27FC236}">
              <a16:creationId xmlns:a16="http://schemas.microsoft.com/office/drawing/2014/main" id="{00000000-0008-0000-0000-000062FB0A00}"/>
            </a:ext>
          </a:extLst>
        </xdr:cNvPr>
        <xdr:cNvCxnSpPr>
          <a:cxnSpLocks noChangeShapeType="1"/>
        </xdr:cNvCxnSpPr>
      </xdr:nvCxnSpPr>
      <xdr:spPr bwMode="auto">
        <a:xfrm flipV="1">
          <a:off x="28270200" y="1771650"/>
          <a:ext cx="666750" cy="276225"/>
        </a:xfrm>
        <a:prstGeom prst="bentConnector3">
          <a:avLst>
            <a:gd name="adj1" fmla="val 50000"/>
          </a:avLst>
        </a:prstGeom>
        <a:noFill/>
        <a:ln w="9525" algn="ctr">
          <a:solidFill>
            <a:srgbClr val="7030A0"/>
          </a:solidFill>
          <a:round/>
          <a:headEnd/>
          <a:tailEnd type="triangle" w="sm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68686"/>
                </a:outerShdw>
              </a:effectLst>
            </a14:hiddenEffects>
          </a:ext>
        </a:extLst>
      </xdr:spPr>
    </xdr:cxnSp>
    <xdr:clientData/>
  </xdr:twoCellAnchor>
  <xdr:twoCellAnchor>
    <xdr:from>
      <xdr:col>59</xdr:col>
      <xdr:colOff>0</xdr:colOff>
      <xdr:row>21</xdr:row>
      <xdr:rowOff>9525</xdr:rowOff>
    </xdr:from>
    <xdr:to>
      <xdr:col>63</xdr:col>
      <xdr:colOff>0</xdr:colOff>
      <xdr:row>21</xdr:row>
      <xdr:rowOff>9525</xdr:rowOff>
    </xdr:to>
    <xdr:cxnSp macro="">
      <xdr:nvCxnSpPr>
        <xdr:cNvPr id="719715" name="Conexão reta unidirecional 357">
          <a:extLst>
            <a:ext uri="{FF2B5EF4-FFF2-40B4-BE49-F238E27FC236}">
              <a16:creationId xmlns:a16="http://schemas.microsoft.com/office/drawing/2014/main" id="{00000000-0008-0000-0000-000063FB0A00}"/>
            </a:ext>
          </a:extLst>
        </xdr:cNvPr>
        <xdr:cNvCxnSpPr>
          <a:cxnSpLocks noChangeShapeType="1"/>
        </xdr:cNvCxnSpPr>
      </xdr:nvCxnSpPr>
      <xdr:spPr bwMode="auto">
        <a:xfrm flipH="1">
          <a:off x="16449675" y="3295650"/>
          <a:ext cx="1171575" cy="0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arrow" w="sm" len="sm"/>
          <a:tailEnd type="arrow" w="sm" len="sm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68686"/>
                </a:outerShdw>
              </a:effectLst>
            </a14:hiddenEffects>
          </a:ext>
        </a:extLst>
      </xdr:spPr>
    </xdr:cxnSp>
    <xdr:clientData/>
  </xdr:twoCellAnchor>
  <xdr:twoCellAnchor>
    <xdr:from>
      <xdr:col>68</xdr:col>
      <xdr:colOff>9525</xdr:colOff>
      <xdr:row>11</xdr:row>
      <xdr:rowOff>57150</xdr:rowOff>
    </xdr:from>
    <xdr:to>
      <xdr:col>75</xdr:col>
      <xdr:colOff>0</xdr:colOff>
      <xdr:row>11</xdr:row>
      <xdr:rowOff>57150</xdr:rowOff>
    </xdr:to>
    <xdr:cxnSp macro="">
      <xdr:nvCxnSpPr>
        <xdr:cNvPr id="719716" name="Conexão reta unidirecional 359">
          <a:extLst>
            <a:ext uri="{FF2B5EF4-FFF2-40B4-BE49-F238E27FC236}">
              <a16:creationId xmlns:a16="http://schemas.microsoft.com/office/drawing/2014/main" id="{00000000-0008-0000-0000-000064FB0A00}"/>
            </a:ext>
          </a:extLst>
        </xdr:cNvPr>
        <xdr:cNvCxnSpPr>
          <a:cxnSpLocks noChangeShapeType="1"/>
        </xdr:cNvCxnSpPr>
      </xdr:nvCxnSpPr>
      <xdr:spPr bwMode="auto">
        <a:xfrm flipH="1">
          <a:off x="19526250" y="1885950"/>
          <a:ext cx="1895475" cy="0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arrow" w="sm" len="sm"/>
          <a:tailEnd type="arrow" w="sm" len="sm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68686"/>
                </a:outerShdw>
              </a:effectLst>
            </a14:hiddenEffects>
          </a:ext>
        </a:extLst>
      </xdr:spPr>
    </xdr:cxnSp>
    <xdr:clientData/>
  </xdr:twoCellAnchor>
  <xdr:twoCellAnchor>
    <xdr:from>
      <xdr:col>68</xdr:col>
      <xdr:colOff>19050</xdr:colOff>
      <xdr:row>20</xdr:row>
      <xdr:rowOff>161925</xdr:rowOff>
    </xdr:from>
    <xdr:to>
      <xdr:col>73</xdr:col>
      <xdr:colOff>0</xdr:colOff>
      <xdr:row>21</xdr:row>
      <xdr:rowOff>0</xdr:rowOff>
    </xdr:to>
    <xdr:cxnSp macro="">
      <xdr:nvCxnSpPr>
        <xdr:cNvPr id="719717" name="Conexão reta unidirecional 357">
          <a:extLst>
            <a:ext uri="{FF2B5EF4-FFF2-40B4-BE49-F238E27FC236}">
              <a16:creationId xmlns:a16="http://schemas.microsoft.com/office/drawing/2014/main" id="{00000000-0008-0000-0000-000065FB0A00}"/>
            </a:ext>
          </a:extLst>
        </xdr:cNvPr>
        <xdr:cNvCxnSpPr>
          <a:cxnSpLocks noChangeShapeType="1"/>
        </xdr:cNvCxnSpPr>
      </xdr:nvCxnSpPr>
      <xdr:spPr bwMode="auto">
        <a:xfrm flipH="1" flipV="1">
          <a:off x="19535775" y="3286125"/>
          <a:ext cx="1581150" cy="0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arrow" w="sm" len="sm"/>
          <a:tailEnd type="arrow" w="sm" len="sm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68686"/>
                </a:outerShdw>
              </a:effectLst>
            </a14:hiddenEffects>
          </a:ext>
        </a:extLst>
      </xdr:spPr>
    </xdr:cxnSp>
    <xdr:clientData/>
  </xdr:twoCellAnchor>
  <xdr:twoCellAnchor>
    <xdr:from>
      <xdr:col>75</xdr:col>
      <xdr:colOff>0</xdr:colOff>
      <xdr:row>11</xdr:row>
      <xdr:rowOff>57150</xdr:rowOff>
    </xdr:from>
    <xdr:to>
      <xdr:col>81</xdr:col>
      <xdr:colOff>333375</xdr:colOff>
      <xdr:row>11</xdr:row>
      <xdr:rowOff>57150</xdr:rowOff>
    </xdr:to>
    <xdr:cxnSp macro="">
      <xdr:nvCxnSpPr>
        <xdr:cNvPr id="719718" name="Conexão reta unidirecional 359">
          <a:extLst>
            <a:ext uri="{FF2B5EF4-FFF2-40B4-BE49-F238E27FC236}">
              <a16:creationId xmlns:a16="http://schemas.microsoft.com/office/drawing/2014/main" id="{00000000-0008-0000-0000-000066FB0A00}"/>
            </a:ext>
          </a:extLst>
        </xdr:cNvPr>
        <xdr:cNvCxnSpPr>
          <a:cxnSpLocks noChangeShapeType="1"/>
        </xdr:cNvCxnSpPr>
      </xdr:nvCxnSpPr>
      <xdr:spPr bwMode="auto">
        <a:xfrm flipH="1">
          <a:off x="21421725" y="1885950"/>
          <a:ext cx="1781175" cy="0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arrow" w="sm" len="sm"/>
          <a:tailEnd type="arrow" w="sm" len="sm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68686"/>
                </a:outerShdw>
              </a:effectLst>
            </a14:hiddenEffects>
          </a:ext>
        </a:extLst>
      </xdr:spPr>
    </xdr:cxnSp>
    <xdr:clientData/>
  </xdr:twoCellAnchor>
  <xdr:twoCellAnchor>
    <xdr:from>
      <xdr:col>77</xdr:col>
      <xdr:colOff>0</xdr:colOff>
      <xdr:row>20</xdr:row>
      <xdr:rowOff>9525</xdr:rowOff>
    </xdr:from>
    <xdr:to>
      <xdr:col>81</xdr:col>
      <xdr:colOff>9525</xdr:colOff>
      <xdr:row>20</xdr:row>
      <xdr:rowOff>9525</xdr:rowOff>
    </xdr:to>
    <xdr:cxnSp macro="">
      <xdr:nvCxnSpPr>
        <xdr:cNvPr id="719719" name="Conexão reta unidirecional 357">
          <a:extLst>
            <a:ext uri="{FF2B5EF4-FFF2-40B4-BE49-F238E27FC236}">
              <a16:creationId xmlns:a16="http://schemas.microsoft.com/office/drawing/2014/main" id="{00000000-0008-0000-0000-000067FB0A00}"/>
            </a:ext>
          </a:extLst>
        </xdr:cNvPr>
        <xdr:cNvCxnSpPr>
          <a:cxnSpLocks noChangeShapeType="1"/>
        </xdr:cNvCxnSpPr>
      </xdr:nvCxnSpPr>
      <xdr:spPr bwMode="auto">
        <a:xfrm flipH="1">
          <a:off x="21726525" y="3133725"/>
          <a:ext cx="1152525" cy="0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arrow" w="sm" len="sm"/>
          <a:tailEnd type="arrow" w="sm" len="sm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68686"/>
                </a:outerShdw>
              </a:effectLst>
            </a14:hiddenEffects>
          </a:ext>
        </a:extLst>
      </xdr:spPr>
    </xdr:cxnSp>
    <xdr:clientData/>
  </xdr:twoCellAnchor>
  <xdr:twoCellAnchor>
    <xdr:from>
      <xdr:col>85</xdr:col>
      <xdr:colOff>171450</xdr:colOff>
      <xdr:row>11</xdr:row>
      <xdr:rowOff>47625</xdr:rowOff>
    </xdr:from>
    <xdr:to>
      <xdr:col>93</xdr:col>
      <xdr:colOff>0</xdr:colOff>
      <xdr:row>11</xdr:row>
      <xdr:rowOff>47625</xdr:rowOff>
    </xdr:to>
    <xdr:cxnSp macro="">
      <xdr:nvCxnSpPr>
        <xdr:cNvPr id="719720" name="Conexão reta unidirecional 359">
          <a:extLst>
            <a:ext uri="{FF2B5EF4-FFF2-40B4-BE49-F238E27FC236}">
              <a16:creationId xmlns:a16="http://schemas.microsoft.com/office/drawing/2014/main" id="{00000000-0008-0000-0000-000068FB0A00}"/>
            </a:ext>
          </a:extLst>
        </xdr:cNvPr>
        <xdr:cNvCxnSpPr>
          <a:cxnSpLocks noChangeShapeType="1"/>
        </xdr:cNvCxnSpPr>
      </xdr:nvCxnSpPr>
      <xdr:spPr bwMode="auto">
        <a:xfrm flipH="1" flipV="1">
          <a:off x="24679275" y="1876425"/>
          <a:ext cx="1981200" cy="0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arrow" w="sm" len="sm"/>
          <a:tailEnd type="arrow" w="sm" len="sm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68686"/>
                </a:outerShdw>
              </a:effectLst>
            </a14:hiddenEffects>
          </a:ext>
        </a:extLst>
      </xdr:spPr>
    </xdr:cxnSp>
    <xdr:clientData/>
  </xdr:twoCellAnchor>
  <xdr:twoCellAnchor>
    <xdr:from>
      <xdr:col>86</xdr:col>
      <xdr:colOff>9525</xdr:colOff>
      <xdr:row>19</xdr:row>
      <xdr:rowOff>161925</xdr:rowOff>
    </xdr:from>
    <xdr:to>
      <xdr:col>91</xdr:col>
      <xdr:colOff>0</xdr:colOff>
      <xdr:row>20</xdr:row>
      <xdr:rowOff>0</xdr:rowOff>
    </xdr:to>
    <xdr:cxnSp macro="">
      <xdr:nvCxnSpPr>
        <xdr:cNvPr id="719721" name="Conexão reta unidirecional 357">
          <a:extLst>
            <a:ext uri="{FF2B5EF4-FFF2-40B4-BE49-F238E27FC236}">
              <a16:creationId xmlns:a16="http://schemas.microsoft.com/office/drawing/2014/main" id="{00000000-0008-0000-0000-000069FB0A00}"/>
            </a:ext>
          </a:extLst>
        </xdr:cNvPr>
        <xdr:cNvCxnSpPr>
          <a:cxnSpLocks noChangeShapeType="1"/>
        </xdr:cNvCxnSpPr>
      </xdr:nvCxnSpPr>
      <xdr:spPr bwMode="auto">
        <a:xfrm flipH="1">
          <a:off x="24774525" y="3124200"/>
          <a:ext cx="1581150" cy="0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arrow" w="sm" len="sm"/>
          <a:tailEnd type="arrow" w="sm" len="sm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68686"/>
                </a:outerShdw>
              </a:effectLst>
            </a14:hiddenEffects>
          </a:ext>
        </a:extLst>
      </xdr:spPr>
    </xdr:cxnSp>
    <xdr:clientData/>
  </xdr:twoCellAnchor>
  <xdr:twoCellAnchor>
    <xdr:from>
      <xdr:col>93</xdr:col>
      <xdr:colOff>9525</xdr:colOff>
      <xdr:row>11</xdr:row>
      <xdr:rowOff>47625</xdr:rowOff>
    </xdr:from>
    <xdr:to>
      <xdr:col>99</xdr:col>
      <xdr:colOff>342900</xdr:colOff>
      <xdr:row>11</xdr:row>
      <xdr:rowOff>47625</xdr:rowOff>
    </xdr:to>
    <xdr:cxnSp macro="">
      <xdr:nvCxnSpPr>
        <xdr:cNvPr id="719722" name="Conexão reta unidirecional 359">
          <a:extLst>
            <a:ext uri="{FF2B5EF4-FFF2-40B4-BE49-F238E27FC236}">
              <a16:creationId xmlns:a16="http://schemas.microsoft.com/office/drawing/2014/main" id="{00000000-0008-0000-0000-00006AFB0A00}"/>
            </a:ext>
          </a:extLst>
        </xdr:cNvPr>
        <xdr:cNvCxnSpPr>
          <a:cxnSpLocks noChangeShapeType="1"/>
        </xdr:cNvCxnSpPr>
      </xdr:nvCxnSpPr>
      <xdr:spPr bwMode="auto">
        <a:xfrm flipH="1">
          <a:off x="26670000" y="1876425"/>
          <a:ext cx="1781175" cy="0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arrow" w="sm" len="sm"/>
          <a:tailEnd type="arrow" w="sm" len="sm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68686"/>
                </a:outerShdw>
              </a:effectLst>
            </a14:hiddenEffects>
          </a:ext>
        </a:extLst>
      </xdr:spPr>
    </xdr:cxnSp>
    <xdr:clientData/>
  </xdr:twoCellAnchor>
  <xdr:twoCellAnchor>
    <xdr:from>
      <xdr:col>95</xdr:col>
      <xdr:colOff>0</xdr:colOff>
      <xdr:row>20</xdr:row>
      <xdr:rowOff>161925</xdr:rowOff>
    </xdr:from>
    <xdr:to>
      <xdr:col>99</xdr:col>
      <xdr:colOff>9525</xdr:colOff>
      <xdr:row>20</xdr:row>
      <xdr:rowOff>161925</xdr:rowOff>
    </xdr:to>
    <xdr:cxnSp macro="">
      <xdr:nvCxnSpPr>
        <xdr:cNvPr id="719723" name="Conexão reta unidirecional 357">
          <a:extLst>
            <a:ext uri="{FF2B5EF4-FFF2-40B4-BE49-F238E27FC236}">
              <a16:creationId xmlns:a16="http://schemas.microsoft.com/office/drawing/2014/main" id="{00000000-0008-0000-0000-00006BFB0A00}"/>
            </a:ext>
          </a:extLst>
        </xdr:cNvPr>
        <xdr:cNvCxnSpPr>
          <a:cxnSpLocks noChangeShapeType="1"/>
        </xdr:cNvCxnSpPr>
      </xdr:nvCxnSpPr>
      <xdr:spPr bwMode="auto">
        <a:xfrm flipH="1">
          <a:off x="26965275" y="3286125"/>
          <a:ext cx="1152525" cy="0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arrow" w="sm" len="sm"/>
          <a:tailEnd type="arrow" w="sm" len="sm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68686"/>
                </a:outerShdw>
              </a:effectLst>
            </a14:hiddenEffects>
          </a:ext>
        </a:extLst>
      </xdr:spPr>
    </xdr:cxnSp>
    <xdr:clientData/>
  </xdr:twoCellAnchor>
  <xdr:twoCellAnchor>
    <xdr:from>
      <xdr:col>103</xdr:col>
      <xdr:colOff>66675</xdr:colOff>
      <xdr:row>11</xdr:row>
      <xdr:rowOff>38100</xdr:rowOff>
    </xdr:from>
    <xdr:to>
      <xdr:col>111</xdr:col>
      <xdr:colOff>19050</xdr:colOff>
      <xdr:row>11</xdr:row>
      <xdr:rowOff>38100</xdr:rowOff>
    </xdr:to>
    <xdr:cxnSp macro="">
      <xdr:nvCxnSpPr>
        <xdr:cNvPr id="719724" name="Conexão reta unidirecional 359">
          <a:extLst>
            <a:ext uri="{FF2B5EF4-FFF2-40B4-BE49-F238E27FC236}">
              <a16:creationId xmlns:a16="http://schemas.microsoft.com/office/drawing/2014/main" id="{00000000-0008-0000-0000-00006CFB0A00}"/>
            </a:ext>
          </a:extLst>
        </xdr:cNvPr>
        <xdr:cNvCxnSpPr>
          <a:cxnSpLocks noChangeShapeType="1"/>
        </xdr:cNvCxnSpPr>
      </xdr:nvCxnSpPr>
      <xdr:spPr bwMode="auto">
        <a:xfrm flipH="1" flipV="1">
          <a:off x="29813250" y="1866900"/>
          <a:ext cx="2095500" cy="0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arrow" w="sm" len="sm"/>
          <a:tailEnd type="arrow" w="sm" len="sm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68686"/>
                </a:outerShdw>
              </a:effectLst>
            </a14:hiddenEffects>
          </a:ext>
        </a:extLst>
      </xdr:spPr>
    </xdr:cxnSp>
    <xdr:clientData/>
  </xdr:twoCellAnchor>
  <xdr:twoCellAnchor>
    <xdr:from>
      <xdr:col>104</xdr:col>
      <xdr:colOff>9525</xdr:colOff>
      <xdr:row>21</xdr:row>
      <xdr:rowOff>0</xdr:rowOff>
    </xdr:from>
    <xdr:to>
      <xdr:col>109</xdr:col>
      <xdr:colOff>0</xdr:colOff>
      <xdr:row>21</xdr:row>
      <xdr:rowOff>9525</xdr:rowOff>
    </xdr:to>
    <xdr:cxnSp macro="">
      <xdr:nvCxnSpPr>
        <xdr:cNvPr id="719725" name="Conexão reta unidirecional 357">
          <a:extLst>
            <a:ext uri="{FF2B5EF4-FFF2-40B4-BE49-F238E27FC236}">
              <a16:creationId xmlns:a16="http://schemas.microsoft.com/office/drawing/2014/main" id="{00000000-0008-0000-0000-00006DFB0A00}"/>
            </a:ext>
          </a:extLst>
        </xdr:cNvPr>
        <xdr:cNvCxnSpPr>
          <a:cxnSpLocks noChangeShapeType="1"/>
        </xdr:cNvCxnSpPr>
      </xdr:nvCxnSpPr>
      <xdr:spPr bwMode="auto">
        <a:xfrm flipH="1">
          <a:off x="30013275" y="3286125"/>
          <a:ext cx="1571625" cy="9525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arrow" w="sm" len="sm"/>
          <a:tailEnd type="arrow" w="sm" len="sm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68686"/>
                </a:outerShdw>
              </a:effectLst>
            </a14:hiddenEffects>
          </a:ext>
        </a:extLst>
      </xdr:spPr>
    </xdr:cxnSp>
    <xdr:clientData/>
  </xdr:twoCellAnchor>
  <xdr:twoCellAnchor>
    <xdr:from>
      <xdr:col>111</xdr:col>
      <xdr:colOff>0</xdr:colOff>
      <xdr:row>11</xdr:row>
      <xdr:rowOff>47625</xdr:rowOff>
    </xdr:from>
    <xdr:to>
      <xdr:col>117</xdr:col>
      <xdr:colOff>333375</xdr:colOff>
      <xdr:row>11</xdr:row>
      <xdr:rowOff>47625</xdr:rowOff>
    </xdr:to>
    <xdr:cxnSp macro="">
      <xdr:nvCxnSpPr>
        <xdr:cNvPr id="719726" name="Conexão reta unidirecional 359">
          <a:extLst>
            <a:ext uri="{FF2B5EF4-FFF2-40B4-BE49-F238E27FC236}">
              <a16:creationId xmlns:a16="http://schemas.microsoft.com/office/drawing/2014/main" id="{00000000-0008-0000-0000-00006EFB0A00}"/>
            </a:ext>
          </a:extLst>
        </xdr:cNvPr>
        <xdr:cNvCxnSpPr>
          <a:cxnSpLocks noChangeShapeType="1"/>
        </xdr:cNvCxnSpPr>
      </xdr:nvCxnSpPr>
      <xdr:spPr bwMode="auto">
        <a:xfrm flipH="1">
          <a:off x="31889700" y="1876425"/>
          <a:ext cx="1790700" cy="0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arrow" w="sm" len="sm"/>
          <a:tailEnd type="arrow" w="sm" len="sm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68686"/>
                </a:outerShdw>
              </a:effectLst>
            </a14:hiddenEffects>
          </a:ext>
        </a:extLst>
      </xdr:spPr>
    </xdr:cxnSp>
    <xdr:clientData/>
  </xdr:twoCellAnchor>
  <xdr:twoCellAnchor>
    <xdr:from>
      <xdr:col>112</xdr:col>
      <xdr:colOff>152400</xdr:colOff>
      <xdr:row>20</xdr:row>
      <xdr:rowOff>0</xdr:rowOff>
    </xdr:from>
    <xdr:to>
      <xdr:col>117</xdr:col>
      <xdr:colOff>9525</xdr:colOff>
      <xdr:row>20</xdr:row>
      <xdr:rowOff>0</xdr:rowOff>
    </xdr:to>
    <xdr:cxnSp macro="">
      <xdr:nvCxnSpPr>
        <xdr:cNvPr id="719727" name="Conexão reta unidirecional 357">
          <a:extLst>
            <a:ext uri="{FF2B5EF4-FFF2-40B4-BE49-F238E27FC236}">
              <a16:creationId xmlns:a16="http://schemas.microsoft.com/office/drawing/2014/main" id="{00000000-0008-0000-0000-00006FFB0A00}"/>
            </a:ext>
          </a:extLst>
        </xdr:cNvPr>
        <xdr:cNvCxnSpPr>
          <a:cxnSpLocks noChangeShapeType="1"/>
        </xdr:cNvCxnSpPr>
      </xdr:nvCxnSpPr>
      <xdr:spPr bwMode="auto">
        <a:xfrm flipH="1">
          <a:off x="32194500" y="3124200"/>
          <a:ext cx="1162050" cy="0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arrow" w="sm" len="sm"/>
          <a:tailEnd type="arrow" w="sm" len="sm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68686"/>
                </a:outerShdw>
              </a:effectLst>
            </a14:hiddenEffects>
          </a:ext>
        </a:extLst>
      </xdr:spPr>
    </xdr:cxnSp>
    <xdr:clientData/>
  </xdr:twoCellAnchor>
  <xdr:twoCellAnchor>
    <xdr:from>
      <xdr:col>122</xdr:col>
      <xdr:colOff>0</xdr:colOff>
      <xdr:row>20</xdr:row>
      <xdr:rowOff>9525</xdr:rowOff>
    </xdr:from>
    <xdr:to>
      <xdr:col>127</xdr:col>
      <xdr:colOff>0</xdr:colOff>
      <xdr:row>20</xdr:row>
      <xdr:rowOff>9525</xdr:rowOff>
    </xdr:to>
    <xdr:cxnSp macro="">
      <xdr:nvCxnSpPr>
        <xdr:cNvPr id="719728" name="Conexão reta unidirecional 357">
          <a:extLst>
            <a:ext uri="{FF2B5EF4-FFF2-40B4-BE49-F238E27FC236}">
              <a16:creationId xmlns:a16="http://schemas.microsoft.com/office/drawing/2014/main" id="{00000000-0008-0000-0000-000070FB0A00}"/>
            </a:ext>
          </a:extLst>
        </xdr:cNvPr>
        <xdr:cNvCxnSpPr>
          <a:cxnSpLocks noChangeShapeType="1"/>
        </xdr:cNvCxnSpPr>
      </xdr:nvCxnSpPr>
      <xdr:spPr bwMode="auto">
        <a:xfrm flipH="1">
          <a:off x="35242500" y="3133725"/>
          <a:ext cx="1562100" cy="0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arrow" w="sm" len="sm"/>
          <a:tailEnd type="arrow" w="sm" len="sm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68686"/>
                </a:outerShdw>
              </a:effectLst>
            </a14:hiddenEffects>
          </a:ext>
        </a:extLst>
      </xdr:spPr>
    </xdr:cxnSp>
    <xdr:clientData/>
  </xdr:twoCellAnchor>
  <xdr:twoCellAnchor>
    <xdr:from>
      <xdr:col>121</xdr:col>
      <xdr:colOff>171450</xdr:colOff>
      <xdr:row>11</xdr:row>
      <xdr:rowOff>57150</xdr:rowOff>
    </xdr:from>
    <xdr:to>
      <xdr:col>129</xdr:col>
      <xdr:colOff>19050</xdr:colOff>
      <xdr:row>11</xdr:row>
      <xdr:rowOff>66675</xdr:rowOff>
    </xdr:to>
    <xdr:cxnSp macro="">
      <xdr:nvCxnSpPr>
        <xdr:cNvPr id="719729" name="Conexão reta unidirecional 359">
          <a:extLst>
            <a:ext uri="{FF2B5EF4-FFF2-40B4-BE49-F238E27FC236}">
              <a16:creationId xmlns:a16="http://schemas.microsoft.com/office/drawing/2014/main" id="{00000000-0008-0000-0000-000071FB0A00}"/>
            </a:ext>
          </a:extLst>
        </xdr:cNvPr>
        <xdr:cNvCxnSpPr>
          <a:cxnSpLocks noChangeShapeType="1"/>
        </xdr:cNvCxnSpPr>
      </xdr:nvCxnSpPr>
      <xdr:spPr bwMode="auto">
        <a:xfrm flipH="1" flipV="1">
          <a:off x="35156775" y="1885950"/>
          <a:ext cx="1971675" cy="9525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arrow" w="sm" len="sm"/>
          <a:tailEnd type="arrow" w="sm" len="sm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68686"/>
                </a:outerShdw>
              </a:effectLst>
            </a14:hiddenEffects>
          </a:ext>
        </a:extLst>
      </xdr:spPr>
    </xdr:cxnSp>
    <xdr:clientData/>
  </xdr:twoCellAnchor>
  <xdr:twoCellAnchor>
    <xdr:from>
      <xdr:col>129</xdr:col>
      <xdr:colOff>9525</xdr:colOff>
      <xdr:row>11</xdr:row>
      <xdr:rowOff>66675</xdr:rowOff>
    </xdr:from>
    <xdr:to>
      <xdr:col>135</xdr:col>
      <xdr:colOff>352425</xdr:colOff>
      <xdr:row>11</xdr:row>
      <xdr:rowOff>66675</xdr:rowOff>
    </xdr:to>
    <xdr:cxnSp macro="">
      <xdr:nvCxnSpPr>
        <xdr:cNvPr id="719730" name="Conexão reta unidirecional 359">
          <a:extLst>
            <a:ext uri="{FF2B5EF4-FFF2-40B4-BE49-F238E27FC236}">
              <a16:creationId xmlns:a16="http://schemas.microsoft.com/office/drawing/2014/main" id="{00000000-0008-0000-0000-000072FB0A00}"/>
            </a:ext>
          </a:extLst>
        </xdr:cNvPr>
        <xdr:cNvCxnSpPr>
          <a:cxnSpLocks noChangeShapeType="1"/>
        </xdr:cNvCxnSpPr>
      </xdr:nvCxnSpPr>
      <xdr:spPr bwMode="auto">
        <a:xfrm flipH="1">
          <a:off x="37118925" y="1895475"/>
          <a:ext cx="1809750" cy="0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arrow" w="sm" len="sm"/>
          <a:tailEnd type="arrow" w="sm" len="sm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68686"/>
                </a:outerShdw>
              </a:effectLst>
            </a14:hiddenEffects>
          </a:ext>
        </a:extLst>
      </xdr:spPr>
    </xdr:cxnSp>
    <xdr:clientData/>
  </xdr:twoCellAnchor>
  <xdr:twoCellAnchor>
    <xdr:from>
      <xdr:col>131</xdr:col>
      <xdr:colOff>0</xdr:colOff>
      <xdr:row>21</xdr:row>
      <xdr:rowOff>9525</xdr:rowOff>
    </xdr:from>
    <xdr:to>
      <xdr:col>135</xdr:col>
      <xdr:colOff>0</xdr:colOff>
      <xdr:row>21</xdr:row>
      <xdr:rowOff>9525</xdr:rowOff>
    </xdr:to>
    <xdr:cxnSp macro="">
      <xdr:nvCxnSpPr>
        <xdr:cNvPr id="719731" name="Conexão reta unidirecional 357">
          <a:extLst>
            <a:ext uri="{FF2B5EF4-FFF2-40B4-BE49-F238E27FC236}">
              <a16:creationId xmlns:a16="http://schemas.microsoft.com/office/drawing/2014/main" id="{00000000-0008-0000-0000-000073FB0A00}"/>
            </a:ext>
          </a:extLst>
        </xdr:cNvPr>
        <xdr:cNvCxnSpPr>
          <a:cxnSpLocks noChangeShapeType="1"/>
        </xdr:cNvCxnSpPr>
      </xdr:nvCxnSpPr>
      <xdr:spPr bwMode="auto">
        <a:xfrm flipH="1" flipV="1">
          <a:off x="37414200" y="3295650"/>
          <a:ext cx="1162050" cy="0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arrow" w="sm" len="sm"/>
          <a:tailEnd type="arrow" w="sm" len="sm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68686"/>
                </a:outerShdw>
              </a:effectLst>
            </a14:hiddenEffects>
          </a:ext>
        </a:extLst>
      </xdr:spPr>
    </xdr:cxnSp>
    <xdr:clientData/>
  </xdr:twoCellAnchor>
  <xdr:twoCellAnchor>
    <xdr:from>
      <xdr:col>135</xdr:col>
      <xdr:colOff>38100</xdr:colOff>
      <xdr:row>12</xdr:row>
      <xdr:rowOff>0</xdr:rowOff>
    </xdr:from>
    <xdr:to>
      <xdr:col>135</xdr:col>
      <xdr:colOff>85725</xdr:colOff>
      <xdr:row>12</xdr:row>
      <xdr:rowOff>104775</xdr:rowOff>
    </xdr:to>
    <xdr:sp macro="" textlink="">
      <xdr:nvSpPr>
        <xdr:cNvPr id="719732" name="Chaveta à direita 24">
          <a:extLst>
            <a:ext uri="{FF2B5EF4-FFF2-40B4-BE49-F238E27FC236}">
              <a16:creationId xmlns:a16="http://schemas.microsoft.com/office/drawing/2014/main" id="{00000000-0008-0000-0000-000074FB0A00}"/>
            </a:ext>
          </a:extLst>
        </xdr:cNvPr>
        <xdr:cNvSpPr>
          <a:spLocks/>
        </xdr:cNvSpPr>
      </xdr:nvSpPr>
      <xdr:spPr bwMode="auto">
        <a:xfrm>
          <a:off x="38614350" y="1990725"/>
          <a:ext cx="47625" cy="104775"/>
        </a:xfrm>
        <a:prstGeom prst="rightBrace">
          <a:avLst>
            <a:gd name="adj1" fmla="val 8067"/>
            <a:gd name="adj2" fmla="val 50000"/>
          </a:avLst>
        </a:prstGeom>
        <a:solidFill>
          <a:srgbClr val="FFFFFF"/>
        </a:solidFill>
        <a:ln w="9525" algn="ctr">
          <a:solidFill>
            <a:srgbClr val="7030A0"/>
          </a:solidFill>
          <a:round/>
          <a:headEnd/>
          <a:tailEnd/>
        </a:ln>
      </xdr:spPr>
    </xdr:sp>
    <xdr:clientData/>
  </xdr:twoCellAnchor>
  <xdr:twoCellAnchor>
    <xdr:from>
      <xdr:col>135</xdr:col>
      <xdr:colOff>180975</xdr:colOff>
      <xdr:row>10</xdr:row>
      <xdr:rowOff>95250</xdr:rowOff>
    </xdr:from>
    <xdr:to>
      <xdr:col>135</xdr:col>
      <xdr:colOff>847725</xdr:colOff>
      <xdr:row>12</xdr:row>
      <xdr:rowOff>47625</xdr:rowOff>
    </xdr:to>
    <xdr:cxnSp macro="">
      <xdr:nvCxnSpPr>
        <xdr:cNvPr id="719733" name="Conexão em ângulos retos 26">
          <a:extLst>
            <a:ext uri="{FF2B5EF4-FFF2-40B4-BE49-F238E27FC236}">
              <a16:creationId xmlns:a16="http://schemas.microsoft.com/office/drawing/2014/main" id="{00000000-0008-0000-0000-000075FB0A00}"/>
            </a:ext>
          </a:extLst>
        </xdr:cNvPr>
        <xdr:cNvCxnSpPr>
          <a:cxnSpLocks noChangeShapeType="1"/>
        </xdr:cNvCxnSpPr>
      </xdr:nvCxnSpPr>
      <xdr:spPr bwMode="auto">
        <a:xfrm flipV="1">
          <a:off x="38757225" y="1762125"/>
          <a:ext cx="666750" cy="276225"/>
        </a:xfrm>
        <a:prstGeom prst="bentConnector3">
          <a:avLst>
            <a:gd name="adj1" fmla="val 50000"/>
          </a:avLst>
        </a:prstGeom>
        <a:noFill/>
        <a:ln w="9525" algn="ctr">
          <a:solidFill>
            <a:srgbClr val="7030A0"/>
          </a:solidFill>
          <a:round/>
          <a:headEnd/>
          <a:tailEnd type="triangle" w="sm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68686"/>
                </a:outerShdw>
              </a:effectLst>
            </a14:hiddenEffects>
          </a:ext>
        </a:extLst>
      </xdr:spPr>
    </xdr:cxnSp>
    <xdr:clientData/>
  </xdr:twoCellAnchor>
  <xdr:twoCellAnchor>
    <xdr:from>
      <xdr:col>140</xdr:col>
      <xdr:colOff>19050</xdr:colOff>
      <xdr:row>11</xdr:row>
      <xdr:rowOff>57150</xdr:rowOff>
    </xdr:from>
    <xdr:to>
      <xdr:col>147</xdr:col>
      <xdr:colOff>0</xdr:colOff>
      <xdr:row>11</xdr:row>
      <xdr:rowOff>57150</xdr:rowOff>
    </xdr:to>
    <xdr:cxnSp macro="">
      <xdr:nvCxnSpPr>
        <xdr:cNvPr id="719734" name="Conexão reta unidirecional 359">
          <a:extLst>
            <a:ext uri="{FF2B5EF4-FFF2-40B4-BE49-F238E27FC236}">
              <a16:creationId xmlns:a16="http://schemas.microsoft.com/office/drawing/2014/main" id="{00000000-0008-0000-0000-000076FB0A00}"/>
            </a:ext>
          </a:extLst>
        </xdr:cNvPr>
        <xdr:cNvCxnSpPr>
          <a:cxnSpLocks noChangeShapeType="1"/>
        </xdr:cNvCxnSpPr>
      </xdr:nvCxnSpPr>
      <xdr:spPr bwMode="auto">
        <a:xfrm flipH="1">
          <a:off x="40490775" y="1885950"/>
          <a:ext cx="1771650" cy="0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arrow" w="sm" len="sm"/>
          <a:tailEnd type="arrow" w="sm" len="sm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68686"/>
                </a:outerShdw>
              </a:effectLst>
            </a14:hiddenEffects>
          </a:ext>
        </a:extLst>
      </xdr:spPr>
    </xdr:cxnSp>
    <xdr:clientData/>
  </xdr:twoCellAnchor>
  <xdr:twoCellAnchor>
    <xdr:from>
      <xdr:col>140</xdr:col>
      <xdr:colOff>9525</xdr:colOff>
      <xdr:row>20</xdr:row>
      <xdr:rowOff>161925</xdr:rowOff>
    </xdr:from>
    <xdr:to>
      <xdr:col>145</xdr:col>
      <xdr:colOff>9525</xdr:colOff>
      <xdr:row>21</xdr:row>
      <xdr:rowOff>0</xdr:rowOff>
    </xdr:to>
    <xdr:cxnSp macro="">
      <xdr:nvCxnSpPr>
        <xdr:cNvPr id="719735" name="Conexão reta unidirecional 357">
          <a:extLst>
            <a:ext uri="{FF2B5EF4-FFF2-40B4-BE49-F238E27FC236}">
              <a16:creationId xmlns:a16="http://schemas.microsoft.com/office/drawing/2014/main" id="{00000000-0008-0000-0000-000077FB0A00}"/>
            </a:ext>
          </a:extLst>
        </xdr:cNvPr>
        <xdr:cNvCxnSpPr>
          <a:cxnSpLocks noChangeShapeType="1"/>
        </xdr:cNvCxnSpPr>
      </xdr:nvCxnSpPr>
      <xdr:spPr bwMode="auto">
        <a:xfrm flipH="1" flipV="1">
          <a:off x="40481250" y="3286125"/>
          <a:ext cx="1562100" cy="0"/>
        </a:xfrm>
        <a:prstGeom prst="straightConnector1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arrow" w="sm" len="sm"/>
          <a:tailEnd type="arrow" w="sm" len="sm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68686"/>
                </a:outerShdw>
              </a:effectLst>
            </a14:hiddenEffects>
          </a:ext>
        </a:extLst>
      </xdr:spPr>
    </xdr:cxnSp>
    <xdr:clientData/>
  </xdr:twoCellAnchor>
  <xdr:twoCellAnchor>
    <xdr:from>
      <xdr:col>20</xdr:col>
      <xdr:colOff>95250</xdr:colOff>
      <xdr:row>24</xdr:row>
      <xdr:rowOff>57150</xdr:rowOff>
    </xdr:from>
    <xdr:to>
      <xdr:col>21</xdr:col>
      <xdr:colOff>57150</xdr:colOff>
      <xdr:row>25</xdr:row>
      <xdr:rowOff>57150</xdr:rowOff>
    </xdr:to>
    <xdr:sp macro="" textlink="">
      <xdr:nvSpPr>
        <xdr:cNvPr id="719736" name="Line 485">
          <a:extLst>
            <a:ext uri="{FF2B5EF4-FFF2-40B4-BE49-F238E27FC236}">
              <a16:creationId xmlns:a16="http://schemas.microsoft.com/office/drawing/2014/main" id="{00000000-0008-0000-0000-000078FB0A00}"/>
            </a:ext>
          </a:extLst>
        </xdr:cNvPr>
        <xdr:cNvSpPr>
          <a:spLocks noChangeShapeType="1"/>
        </xdr:cNvSpPr>
      </xdr:nvSpPr>
      <xdr:spPr bwMode="auto">
        <a:xfrm flipV="1">
          <a:off x="5857875" y="3848100"/>
          <a:ext cx="114300" cy="952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95250</xdr:colOff>
      <xdr:row>24</xdr:row>
      <xdr:rowOff>57150</xdr:rowOff>
    </xdr:from>
    <xdr:to>
      <xdr:col>39</xdr:col>
      <xdr:colOff>57150</xdr:colOff>
      <xdr:row>25</xdr:row>
      <xdr:rowOff>57150</xdr:rowOff>
    </xdr:to>
    <xdr:sp macro="" textlink="">
      <xdr:nvSpPr>
        <xdr:cNvPr id="719737" name="Line 485">
          <a:extLst>
            <a:ext uri="{FF2B5EF4-FFF2-40B4-BE49-F238E27FC236}">
              <a16:creationId xmlns:a16="http://schemas.microsoft.com/office/drawing/2014/main" id="{00000000-0008-0000-0000-000079FB0A00}"/>
            </a:ext>
          </a:extLst>
        </xdr:cNvPr>
        <xdr:cNvSpPr>
          <a:spLocks noChangeShapeType="1"/>
        </xdr:cNvSpPr>
      </xdr:nvSpPr>
      <xdr:spPr bwMode="auto">
        <a:xfrm flipV="1">
          <a:off x="10877550" y="3848100"/>
          <a:ext cx="114300" cy="952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95250</xdr:colOff>
      <xdr:row>24</xdr:row>
      <xdr:rowOff>57150</xdr:rowOff>
    </xdr:from>
    <xdr:to>
      <xdr:col>57</xdr:col>
      <xdr:colOff>57150</xdr:colOff>
      <xdr:row>25</xdr:row>
      <xdr:rowOff>57150</xdr:rowOff>
    </xdr:to>
    <xdr:sp macro="" textlink="">
      <xdr:nvSpPr>
        <xdr:cNvPr id="719738" name="Line 485">
          <a:extLst>
            <a:ext uri="{FF2B5EF4-FFF2-40B4-BE49-F238E27FC236}">
              <a16:creationId xmlns:a16="http://schemas.microsoft.com/office/drawing/2014/main" id="{00000000-0008-0000-0000-00007AFB0A00}"/>
            </a:ext>
          </a:extLst>
        </xdr:cNvPr>
        <xdr:cNvSpPr>
          <a:spLocks noChangeShapeType="1"/>
        </xdr:cNvSpPr>
      </xdr:nvSpPr>
      <xdr:spPr bwMode="auto">
        <a:xfrm flipV="1">
          <a:off x="16087725" y="3848100"/>
          <a:ext cx="114300" cy="952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74</xdr:col>
      <xdr:colOff>95250</xdr:colOff>
      <xdr:row>24</xdr:row>
      <xdr:rowOff>57150</xdr:rowOff>
    </xdr:from>
    <xdr:to>
      <xdr:col>75</xdr:col>
      <xdr:colOff>57150</xdr:colOff>
      <xdr:row>25</xdr:row>
      <xdr:rowOff>57150</xdr:rowOff>
    </xdr:to>
    <xdr:sp macro="" textlink="">
      <xdr:nvSpPr>
        <xdr:cNvPr id="719739" name="Line 485">
          <a:extLst>
            <a:ext uri="{FF2B5EF4-FFF2-40B4-BE49-F238E27FC236}">
              <a16:creationId xmlns:a16="http://schemas.microsoft.com/office/drawing/2014/main" id="{00000000-0008-0000-0000-00007BFB0A00}"/>
            </a:ext>
          </a:extLst>
        </xdr:cNvPr>
        <xdr:cNvSpPr>
          <a:spLocks noChangeShapeType="1"/>
        </xdr:cNvSpPr>
      </xdr:nvSpPr>
      <xdr:spPr bwMode="auto">
        <a:xfrm flipV="1">
          <a:off x="21364575" y="3848100"/>
          <a:ext cx="114300" cy="952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92</xdr:col>
      <xdr:colOff>95250</xdr:colOff>
      <xdr:row>24</xdr:row>
      <xdr:rowOff>57150</xdr:rowOff>
    </xdr:from>
    <xdr:to>
      <xdr:col>93</xdr:col>
      <xdr:colOff>57150</xdr:colOff>
      <xdr:row>25</xdr:row>
      <xdr:rowOff>57150</xdr:rowOff>
    </xdr:to>
    <xdr:sp macro="" textlink="">
      <xdr:nvSpPr>
        <xdr:cNvPr id="719740" name="Line 485">
          <a:extLst>
            <a:ext uri="{FF2B5EF4-FFF2-40B4-BE49-F238E27FC236}">
              <a16:creationId xmlns:a16="http://schemas.microsoft.com/office/drawing/2014/main" id="{00000000-0008-0000-0000-00007CFB0A00}"/>
            </a:ext>
          </a:extLst>
        </xdr:cNvPr>
        <xdr:cNvSpPr>
          <a:spLocks noChangeShapeType="1"/>
        </xdr:cNvSpPr>
      </xdr:nvSpPr>
      <xdr:spPr bwMode="auto">
        <a:xfrm flipV="1">
          <a:off x="26603325" y="3848100"/>
          <a:ext cx="114300" cy="952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110</xdr:col>
      <xdr:colOff>95250</xdr:colOff>
      <xdr:row>24</xdr:row>
      <xdr:rowOff>47625</xdr:rowOff>
    </xdr:from>
    <xdr:to>
      <xdr:col>111</xdr:col>
      <xdr:colOff>57150</xdr:colOff>
      <xdr:row>25</xdr:row>
      <xdr:rowOff>47625</xdr:rowOff>
    </xdr:to>
    <xdr:sp macro="" textlink="">
      <xdr:nvSpPr>
        <xdr:cNvPr id="719741" name="Line 485">
          <a:extLst>
            <a:ext uri="{FF2B5EF4-FFF2-40B4-BE49-F238E27FC236}">
              <a16:creationId xmlns:a16="http://schemas.microsoft.com/office/drawing/2014/main" id="{00000000-0008-0000-0000-00007DFB0A00}"/>
            </a:ext>
          </a:extLst>
        </xdr:cNvPr>
        <xdr:cNvSpPr>
          <a:spLocks noChangeShapeType="1"/>
        </xdr:cNvSpPr>
      </xdr:nvSpPr>
      <xdr:spPr bwMode="auto">
        <a:xfrm flipV="1">
          <a:off x="31832550" y="3838575"/>
          <a:ext cx="114300" cy="952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128</xdr:col>
      <xdr:colOff>95250</xdr:colOff>
      <xdr:row>24</xdr:row>
      <xdr:rowOff>47625</xdr:rowOff>
    </xdr:from>
    <xdr:to>
      <xdr:col>129</xdr:col>
      <xdr:colOff>57150</xdr:colOff>
      <xdr:row>25</xdr:row>
      <xdr:rowOff>47625</xdr:rowOff>
    </xdr:to>
    <xdr:sp macro="" textlink="">
      <xdr:nvSpPr>
        <xdr:cNvPr id="719742" name="Line 485">
          <a:extLst>
            <a:ext uri="{FF2B5EF4-FFF2-40B4-BE49-F238E27FC236}">
              <a16:creationId xmlns:a16="http://schemas.microsoft.com/office/drawing/2014/main" id="{00000000-0008-0000-0000-00007EFB0A00}"/>
            </a:ext>
          </a:extLst>
        </xdr:cNvPr>
        <xdr:cNvSpPr>
          <a:spLocks noChangeShapeType="1"/>
        </xdr:cNvSpPr>
      </xdr:nvSpPr>
      <xdr:spPr bwMode="auto">
        <a:xfrm flipV="1">
          <a:off x="37052250" y="3838575"/>
          <a:ext cx="114300" cy="952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146</xdr:col>
      <xdr:colOff>66675</xdr:colOff>
      <xdr:row>24</xdr:row>
      <xdr:rowOff>47625</xdr:rowOff>
    </xdr:from>
    <xdr:to>
      <xdr:col>147</xdr:col>
      <xdr:colOff>57150</xdr:colOff>
      <xdr:row>25</xdr:row>
      <xdr:rowOff>47625</xdr:rowOff>
    </xdr:to>
    <xdr:sp macro="" textlink="">
      <xdr:nvSpPr>
        <xdr:cNvPr id="719743" name="Line 485">
          <a:extLst>
            <a:ext uri="{FF2B5EF4-FFF2-40B4-BE49-F238E27FC236}">
              <a16:creationId xmlns:a16="http://schemas.microsoft.com/office/drawing/2014/main" id="{00000000-0008-0000-0000-00007FFB0A00}"/>
            </a:ext>
          </a:extLst>
        </xdr:cNvPr>
        <xdr:cNvSpPr>
          <a:spLocks noChangeShapeType="1"/>
        </xdr:cNvSpPr>
      </xdr:nvSpPr>
      <xdr:spPr bwMode="auto">
        <a:xfrm flipV="1">
          <a:off x="42214800" y="3838575"/>
          <a:ext cx="104775" cy="952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63</xdr:col>
      <xdr:colOff>28575</xdr:colOff>
      <xdr:row>11</xdr:row>
      <xdr:rowOff>152400</xdr:rowOff>
    </xdr:from>
    <xdr:to>
      <xdr:col>63</xdr:col>
      <xdr:colOff>76200</xdr:colOff>
      <xdr:row>12</xdr:row>
      <xdr:rowOff>104775</xdr:rowOff>
    </xdr:to>
    <xdr:sp macro="" textlink="">
      <xdr:nvSpPr>
        <xdr:cNvPr id="719744" name="Chaveta à direita 24">
          <a:extLst>
            <a:ext uri="{FF2B5EF4-FFF2-40B4-BE49-F238E27FC236}">
              <a16:creationId xmlns:a16="http://schemas.microsoft.com/office/drawing/2014/main" id="{00000000-0008-0000-0000-000080FB0A00}"/>
            </a:ext>
          </a:extLst>
        </xdr:cNvPr>
        <xdr:cNvSpPr>
          <a:spLocks/>
        </xdr:cNvSpPr>
      </xdr:nvSpPr>
      <xdr:spPr bwMode="auto">
        <a:xfrm>
          <a:off x="17649825" y="1981200"/>
          <a:ext cx="47625" cy="114300"/>
        </a:xfrm>
        <a:prstGeom prst="rightBrace">
          <a:avLst>
            <a:gd name="adj1" fmla="val 8800"/>
            <a:gd name="adj2" fmla="val 50000"/>
          </a:avLst>
        </a:prstGeom>
        <a:solidFill>
          <a:srgbClr val="FFFFFF"/>
        </a:solidFill>
        <a:ln w="9525" algn="ctr">
          <a:solidFill>
            <a:srgbClr val="7030A0"/>
          </a:solidFill>
          <a:round/>
          <a:headEnd/>
          <a:tailEnd/>
        </a:ln>
      </xdr:spPr>
    </xdr:sp>
    <xdr:clientData/>
  </xdr:twoCellAnchor>
  <xdr:twoCellAnchor>
    <xdr:from>
      <xdr:col>63</xdr:col>
      <xdr:colOff>209550</xdr:colOff>
      <xdr:row>10</xdr:row>
      <xdr:rowOff>85725</xdr:rowOff>
    </xdr:from>
    <xdr:to>
      <xdr:col>63</xdr:col>
      <xdr:colOff>695325</xdr:colOff>
      <xdr:row>12</xdr:row>
      <xdr:rowOff>38100</xdr:rowOff>
    </xdr:to>
    <xdr:cxnSp macro="">
      <xdr:nvCxnSpPr>
        <xdr:cNvPr id="719745" name="Conexão em ângulos retos 26">
          <a:extLst>
            <a:ext uri="{FF2B5EF4-FFF2-40B4-BE49-F238E27FC236}">
              <a16:creationId xmlns:a16="http://schemas.microsoft.com/office/drawing/2014/main" id="{00000000-0008-0000-0000-000081FB0A00}"/>
            </a:ext>
          </a:extLst>
        </xdr:cNvPr>
        <xdr:cNvCxnSpPr>
          <a:cxnSpLocks noChangeShapeType="1"/>
        </xdr:cNvCxnSpPr>
      </xdr:nvCxnSpPr>
      <xdr:spPr bwMode="auto">
        <a:xfrm flipV="1">
          <a:off x="17830800" y="1752600"/>
          <a:ext cx="485775" cy="276225"/>
        </a:xfrm>
        <a:prstGeom prst="bentConnector3">
          <a:avLst>
            <a:gd name="adj1" fmla="val 50000"/>
          </a:avLst>
        </a:prstGeom>
        <a:noFill/>
        <a:ln w="9525" algn="ctr">
          <a:solidFill>
            <a:srgbClr val="7030A0"/>
          </a:solidFill>
          <a:round/>
          <a:headEnd/>
          <a:tailEnd type="triangle" w="sm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68686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247650</xdr:colOff>
      <xdr:row>15</xdr:row>
      <xdr:rowOff>28575</xdr:rowOff>
    </xdr:from>
    <xdr:to>
      <xdr:col>18</xdr:col>
      <xdr:colOff>333375</xdr:colOff>
      <xdr:row>15</xdr:row>
      <xdr:rowOff>57150</xdr:rowOff>
    </xdr:to>
    <xdr:sp macro="" textlink="">
      <xdr:nvSpPr>
        <xdr:cNvPr id="719746" name="Line 496">
          <a:extLst>
            <a:ext uri="{FF2B5EF4-FFF2-40B4-BE49-F238E27FC236}">
              <a16:creationId xmlns:a16="http://schemas.microsoft.com/office/drawing/2014/main" id="{00000000-0008-0000-0000-000082FB0A00}"/>
            </a:ext>
          </a:extLst>
        </xdr:cNvPr>
        <xdr:cNvSpPr>
          <a:spLocks noChangeShapeType="1"/>
        </xdr:cNvSpPr>
      </xdr:nvSpPr>
      <xdr:spPr bwMode="auto">
        <a:xfrm flipV="1">
          <a:off x="5524500" y="2457450"/>
          <a:ext cx="85725" cy="28575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0</xdr:colOff>
      <xdr:row>16</xdr:row>
      <xdr:rowOff>9525</xdr:rowOff>
    </xdr:from>
    <xdr:to>
      <xdr:col>23</xdr:col>
      <xdr:colOff>85725</xdr:colOff>
      <xdr:row>16</xdr:row>
      <xdr:rowOff>38100</xdr:rowOff>
    </xdr:to>
    <xdr:sp macro="" textlink="">
      <xdr:nvSpPr>
        <xdr:cNvPr id="719747" name="Line 496">
          <a:extLst>
            <a:ext uri="{FF2B5EF4-FFF2-40B4-BE49-F238E27FC236}">
              <a16:creationId xmlns:a16="http://schemas.microsoft.com/office/drawing/2014/main" id="{00000000-0008-0000-0000-000083FB0A00}"/>
            </a:ext>
          </a:extLst>
        </xdr:cNvPr>
        <xdr:cNvSpPr>
          <a:spLocks noChangeShapeType="1"/>
        </xdr:cNvSpPr>
      </xdr:nvSpPr>
      <xdr:spPr bwMode="auto">
        <a:xfrm flipV="1">
          <a:off x="6276975" y="2647950"/>
          <a:ext cx="85725" cy="28575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200025</xdr:colOff>
      <xdr:row>16</xdr:row>
      <xdr:rowOff>38100</xdr:rowOff>
    </xdr:from>
    <xdr:to>
      <xdr:col>37</xdr:col>
      <xdr:colOff>38100</xdr:colOff>
      <xdr:row>16</xdr:row>
      <xdr:rowOff>66675</xdr:rowOff>
    </xdr:to>
    <xdr:sp macro="" textlink="">
      <xdr:nvSpPr>
        <xdr:cNvPr id="719748" name="Line 496">
          <a:extLst>
            <a:ext uri="{FF2B5EF4-FFF2-40B4-BE49-F238E27FC236}">
              <a16:creationId xmlns:a16="http://schemas.microsoft.com/office/drawing/2014/main" id="{00000000-0008-0000-0000-000084FB0A00}"/>
            </a:ext>
          </a:extLst>
        </xdr:cNvPr>
        <xdr:cNvSpPr>
          <a:spLocks noChangeShapeType="1"/>
        </xdr:cNvSpPr>
      </xdr:nvSpPr>
      <xdr:spPr bwMode="auto">
        <a:xfrm flipV="1">
          <a:off x="10506075" y="2676525"/>
          <a:ext cx="142875" cy="28575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142875</xdr:colOff>
      <xdr:row>14</xdr:row>
      <xdr:rowOff>209550</xdr:rowOff>
    </xdr:from>
    <xdr:to>
      <xdr:col>41</xdr:col>
      <xdr:colOff>76200</xdr:colOff>
      <xdr:row>15</xdr:row>
      <xdr:rowOff>28575</xdr:rowOff>
    </xdr:to>
    <xdr:sp macro="" textlink="">
      <xdr:nvSpPr>
        <xdr:cNvPr id="719749" name="Line 496">
          <a:extLst>
            <a:ext uri="{FF2B5EF4-FFF2-40B4-BE49-F238E27FC236}">
              <a16:creationId xmlns:a16="http://schemas.microsoft.com/office/drawing/2014/main" id="{00000000-0008-0000-0000-000085FB0A00}"/>
            </a:ext>
          </a:extLst>
        </xdr:cNvPr>
        <xdr:cNvSpPr>
          <a:spLocks noChangeShapeType="1"/>
        </xdr:cNvSpPr>
      </xdr:nvSpPr>
      <xdr:spPr bwMode="auto">
        <a:xfrm flipV="1">
          <a:off x="11229975" y="2428875"/>
          <a:ext cx="85725" cy="28575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142875</xdr:colOff>
      <xdr:row>15</xdr:row>
      <xdr:rowOff>209550</xdr:rowOff>
    </xdr:from>
    <xdr:to>
      <xdr:col>59</xdr:col>
      <xdr:colOff>76200</xdr:colOff>
      <xdr:row>16</xdr:row>
      <xdr:rowOff>38100</xdr:rowOff>
    </xdr:to>
    <xdr:sp macro="" textlink="">
      <xdr:nvSpPr>
        <xdr:cNvPr id="719750" name="Line 524">
          <a:extLst>
            <a:ext uri="{FF2B5EF4-FFF2-40B4-BE49-F238E27FC236}">
              <a16:creationId xmlns:a16="http://schemas.microsoft.com/office/drawing/2014/main" id="{00000000-0008-0000-0000-000086FB0A00}"/>
            </a:ext>
          </a:extLst>
        </xdr:cNvPr>
        <xdr:cNvSpPr>
          <a:spLocks noChangeShapeType="1"/>
        </xdr:cNvSpPr>
      </xdr:nvSpPr>
      <xdr:spPr bwMode="auto">
        <a:xfrm flipV="1">
          <a:off x="16440150" y="2638425"/>
          <a:ext cx="85725" cy="381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121</xdr:col>
      <xdr:colOff>114300</xdr:colOff>
      <xdr:row>13</xdr:row>
      <xdr:rowOff>9525</xdr:rowOff>
    </xdr:from>
    <xdr:to>
      <xdr:col>121</xdr:col>
      <xdr:colOff>180975</xdr:colOff>
      <xdr:row>13</xdr:row>
      <xdr:rowOff>76200</xdr:rowOff>
    </xdr:to>
    <xdr:sp macro="" textlink="">
      <xdr:nvSpPr>
        <xdr:cNvPr id="719751" name="Line 439">
          <a:extLst>
            <a:ext uri="{FF2B5EF4-FFF2-40B4-BE49-F238E27FC236}">
              <a16:creationId xmlns:a16="http://schemas.microsoft.com/office/drawing/2014/main" id="{00000000-0008-0000-0000-000087FB0A00}"/>
            </a:ext>
          </a:extLst>
        </xdr:cNvPr>
        <xdr:cNvSpPr>
          <a:spLocks noChangeShapeType="1"/>
        </xdr:cNvSpPr>
      </xdr:nvSpPr>
      <xdr:spPr bwMode="auto">
        <a:xfrm flipH="1">
          <a:off x="35099625" y="2114550"/>
          <a:ext cx="66675" cy="66675"/>
        </a:xfrm>
        <a:prstGeom prst="line">
          <a:avLst/>
        </a:prstGeom>
        <a:noFill/>
        <a:ln w="15875">
          <a:solidFill>
            <a:srgbClr val="C00000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47</xdr:row>
          <xdr:rowOff>69850</xdr:rowOff>
        </xdr:from>
        <xdr:to>
          <xdr:col>9</xdr:col>
          <xdr:colOff>107950</xdr:colOff>
          <xdr:row>48</xdr:row>
          <xdr:rowOff>107950</xdr:rowOff>
        </xdr:to>
        <xdr:sp macro="" textlink="">
          <xdr:nvSpPr>
            <xdr:cNvPr id="1655" name="CommandButton9" hidden="1">
              <a:extLst>
                <a:ext uri="{63B3BB69-23CF-44E3-9099-C40C66FF867C}">
                  <a14:compatExt spid="_x0000_s1655"/>
                </a:ext>
                <a:ext uri="{FF2B5EF4-FFF2-40B4-BE49-F238E27FC236}">
                  <a16:creationId xmlns:a16="http://schemas.microsoft.com/office/drawing/2014/main" id="{00000000-0008-0000-0000-00007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410000" mc:Ignorable="a14" a14:legacySpreadsheetColorIndex="65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410000" mc:Ignorable="a14" a14:legacySpreadsheetColorIndex="65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6.xml"/><Relationship Id="rId18" Type="http://schemas.openxmlformats.org/officeDocument/2006/relationships/control" Target="../activeX/activeX9.xml"/><Relationship Id="rId26" Type="http://schemas.openxmlformats.org/officeDocument/2006/relationships/control" Target="../activeX/activeX13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8.emf"/><Relationship Id="rId7" Type="http://schemas.openxmlformats.org/officeDocument/2006/relationships/image" Target="../media/image2.emf"/><Relationship Id="rId12" Type="http://schemas.openxmlformats.org/officeDocument/2006/relationships/image" Target="../media/image4.emf"/><Relationship Id="rId17" Type="http://schemas.openxmlformats.org/officeDocument/2006/relationships/image" Target="../media/image6.emf"/><Relationship Id="rId25" Type="http://schemas.openxmlformats.org/officeDocument/2006/relationships/image" Target="../media/image10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29" Type="http://schemas.openxmlformats.org/officeDocument/2006/relationships/image" Target="../media/image12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control" Target="../activeX/activeX12.xml"/><Relationship Id="rId5" Type="http://schemas.openxmlformats.org/officeDocument/2006/relationships/image" Target="../media/image1.emf"/><Relationship Id="rId15" Type="http://schemas.openxmlformats.org/officeDocument/2006/relationships/image" Target="../media/image5.emf"/><Relationship Id="rId23" Type="http://schemas.openxmlformats.org/officeDocument/2006/relationships/image" Target="../media/image9.emf"/><Relationship Id="rId28" Type="http://schemas.openxmlformats.org/officeDocument/2006/relationships/control" Target="../activeX/activeX14.xml"/><Relationship Id="rId10" Type="http://schemas.openxmlformats.org/officeDocument/2006/relationships/control" Target="../activeX/activeX4.xml"/><Relationship Id="rId19" Type="http://schemas.openxmlformats.org/officeDocument/2006/relationships/image" Target="../media/image7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Relationship Id="rId27" Type="http://schemas.openxmlformats.org/officeDocument/2006/relationships/image" Target="../media/image1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1"/>
  <dimension ref="A3:FC54"/>
  <sheetViews>
    <sheetView showGridLines="0" tabSelected="1" zoomScale="85" zoomScaleNormal="85" workbookViewId="0">
      <selection activeCell="S3" sqref="S3"/>
    </sheetView>
  </sheetViews>
  <sheetFormatPr defaultColWidth="9.1796875" defaultRowHeight="12.5" x14ac:dyDescent="0.25"/>
  <cols>
    <col min="1" max="2" width="1.54296875" style="1" customWidth="1"/>
    <col min="3" max="3" width="1.453125" style="1" customWidth="1"/>
    <col min="4" max="5" width="1.7265625" style="1" customWidth="1"/>
    <col min="6" max="7" width="4.7265625" style="1" customWidth="1"/>
    <col min="8" max="8" width="3.26953125" style="1" customWidth="1"/>
    <col min="9" max="9" width="7.453125" style="1" customWidth="1"/>
    <col min="10" max="10" width="12.81640625" style="1" customWidth="1"/>
    <col min="11" max="11" width="4.453125" style="1" customWidth="1"/>
    <col min="12" max="12" width="2.1796875" style="1" customWidth="1"/>
    <col min="13" max="13" width="5.26953125" style="1" customWidth="1"/>
    <col min="14" max="14" width="3.81640625" style="1" customWidth="1"/>
    <col min="15" max="15" width="8.1796875" style="1" customWidth="1"/>
    <col min="16" max="16" width="4.26953125" style="1" customWidth="1"/>
    <col min="17" max="17" width="4.81640625" style="1" customWidth="1"/>
    <col min="18" max="18" width="5.26953125" style="1" customWidth="1"/>
    <col min="19" max="19" width="5" style="1" customWidth="1"/>
    <col min="20" max="21" width="2.26953125" style="1" customWidth="1"/>
    <col min="22" max="22" width="3.7265625" style="1" customWidth="1"/>
    <col min="23" max="23" width="1.7265625" style="1" customWidth="1"/>
    <col min="24" max="24" width="5.453125" style="1" customWidth="1"/>
    <col min="25" max="25" width="4.453125" style="1" customWidth="1"/>
    <col min="26" max="27" width="3.7265625" style="1" customWidth="1"/>
    <col min="28" max="28" width="10.26953125" style="1" customWidth="1"/>
    <col min="29" max="29" width="4.26953125" style="1" customWidth="1"/>
    <col min="30" max="30" width="2.7265625" style="1" customWidth="1"/>
    <col min="31" max="31" width="4.7265625" style="1" customWidth="1"/>
    <col min="32" max="32" width="3.7265625" style="1" customWidth="1"/>
    <col min="33" max="33" width="4.54296875" style="1" customWidth="1"/>
    <col min="34" max="34" width="4.1796875" style="1" customWidth="1"/>
    <col min="35" max="35" width="4" style="1" customWidth="1"/>
    <col min="36" max="36" width="4.7265625" style="1" customWidth="1"/>
    <col min="37" max="37" width="4.54296875" style="1" customWidth="1"/>
    <col min="38" max="38" width="2.54296875" style="1" customWidth="1"/>
    <col min="39" max="41" width="2.26953125" style="1" customWidth="1"/>
    <col min="42" max="42" width="5.453125" style="1" customWidth="1"/>
    <col min="43" max="43" width="4.26953125" style="1" customWidth="1"/>
    <col min="44" max="44" width="2.7265625" style="1" customWidth="1"/>
    <col min="45" max="45" width="4.7265625" style="1" customWidth="1"/>
    <col min="46" max="46" width="12.81640625" style="1" customWidth="1"/>
    <col min="47" max="47" width="4.26953125" style="1" customWidth="1"/>
    <col min="48" max="48" width="2.7265625" style="1" customWidth="1"/>
    <col min="49" max="49" width="4.7265625" style="1" customWidth="1"/>
    <col min="50" max="50" width="3.81640625" style="1" customWidth="1"/>
    <col min="51" max="51" width="8.1796875" style="1" customWidth="1"/>
    <col min="52" max="52" width="4.1796875" style="1" customWidth="1"/>
    <col min="53" max="53" width="2.7265625" style="1" customWidth="1"/>
    <col min="54" max="54" width="4.7265625" style="1" customWidth="1"/>
    <col min="55" max="55" width="3.7265625" style="1" customWidth="1"/>
    <col min="56" max="59" width="2.26953125" style="1" customWidth="1"/>
    <col min="60" max="60" width="5.453125" style="1" customWidth="1"/>
    <col min="61" max="61" width="4.7265625" style="1" customWidth="1"/>
    <col min="62" max="62" width="2.7265625" style="1" customWidth="1"/>
    <col min="63" max="63" width="4.7265625" style="1" customWidth="1"/>
    <col min="64" max="64" width="12.81640625" style="1" customWidth="1"/>
    <col min="65" max="65" width="4.26953125" style="1" customWidth="1"/>
    <col min="66" max="66" width="2.7265625" style="1" customWidth="1"/>
    <col min="67" max="67" width="4.7265625" style="1" customWidth="1"/>
    <col min="68" max="68" width="3.81640625" style="1" customWidth="1"/>
    <col min="69" max="69" width="8.1796875" style="1" customWidth="1"/>
    <col min="70" max="70" width="4.7265625" style="1" customWidth="1"/>
    <col min="71" max="71" width="2.7265625" style="1" customWidth="1"/>
    <col min="72" max="72" width="4.7265625" style="1" customWidth="1"/>
    <col min="73" max="73" width="3.7265625" style="1" customWidth="1"/>
    <col min="74" max="77" width="2.26953125" style="1" customWidth="1"/>
    <col min="78" max="78" width="5.453125" style="1" customWidth="1"/>
    <col min="79" max="79" width="4.26953125" style="1" customWidth="1"/>
    <col min="80" max="80" width="2.7265625" style="1" customWidth="1"/>
    <col min="81" max="81" width="4.7265625" style="1" customWidth="1"/>
    <col min="82" max="82" width="12.81640625" style="1" customWidth="1"/>
    <col min="83" max="83" width="4.26953125" style="1" customWidth="1"/>
    <col min="84" max="84" width="2.7265625" style="1" customWidth="1"/>
    <col min="85" max="85" width="4.7265625" style="1" customWidth="1"/>
    <col min="86" max="86" width="3.81640625" style="1" customWidth="1"/>
    <col min="87" max="87" width="8.1796875" style="1" customWidth="1"/>
    <col min="88" max="88" width="4.54296875" style="1" customWidth="1"/>
    <col min="89" max="89" width="2.7265625" style="1" customWidth="1"/>
    <col min="90" max="90" width="4.7265625" style="1" customWidth="1"/>
    <col min="91" max="91" width="3.7265625" style="1" customWidth="1"/>
    <col min="92" max="95" width="2.26953125" style="1" customWidth="1"/>
    <col min="96" max="96" width="5.453125" style="1" customWidth="1"/>
    <col min="97" max="97" width="4.26953125" style="1" customWidth="1"/>
    <col min="98" max="98" width="2.7265625" style="1" customWidth="1"/>
    <col min="99" max="99" width="4.7265625" style="1" customWidth="1"/>
    <col min="100" max="100" width="12.81640625" style="1" customWidth="1"/>
    <col min="101" max="101" width="4.26953125" style="1" customWidth="1"/>
    <col min="102" max="102" width="2.7265625" style="1" customWidth="1"/>
    <col min="103" max="103" width="4.7265625" style="1" customWidth="1"/>
    <col min="104" max="104" width="3.81640625" style="1" customWidth="1"/>
    <col min="105" max="105" width="8.1796875" style="1" customWidth="1"/>
    <col min="106" max="106" width="4.453125" style="1" customWidth="1"/>
    <col min="107" max="107" width="2.7265625" style="1" customWidth="1"/>
    <col min="108" max="108" width="4.7265625" style="1" customWidth="1"/>
    <col min="109" max="109" width="3.7265625" style="1" customWidth="1"/>
    <col min="110" max="113" width="2.26953125" style="1" customWidth="1"/>
    <col min="114" max="114" width="5.453125" style="1" customWidth="1"/>
    <col min="115" max="115" width="4.453125" style="1" customWidth="1"/>
    <col min="116" max="116" width="2.7265625" style="1" customWidth="1"/>
    <col min="117" max="117" width="4.7265625" style="1" customWidth="1"/>
    <col min="118" max="118" width="12.81640625" style="1" customWidth="1"/>
    <col min="119" max="119" width="4.26953125" style="1" customWidth="1"/>
    <col min="120" max="120" width="2.7265625" style="1" customWidth="1"/>
    <col min="121" max="121" width="4.7265625" style="1" customWidth="1"/>
    <col min="122" max="122" width="3.81640625" style="1" customWidth="1"/>
    <col min="123" max="123" width="8.1796875" style="1" customWidth="1"/>
    <col min="124" max="124" width="4.1796875" style="1" customWidth="1"/>
    <col min="125" max="125" width="2.7265625" style="1" customWidth="1"/>
    <col min="126" max="126" width="4.7265625" style="1" customWidth="1"/>
    <col min="127" max="127" width="3.7265625" style="1" customWidth="1"/>
    <col min="128" max="131" width="2.26953125" style="1" customWidth="1"/>
    <col min="132" max="132" width="5.453125" style="1" customWidth="1"/>
    <col min="133" max="133" width="4.54296875" style="1" customWidth="1"/>
    <col min="134" max="134" width="2.7265625" style="1" customWidth="1"/>
    <col min="135" max="135" width="4.7265625" style="1" customWidth="1"/>
    <col min="136" max="136" width="12.81640625" style="1" customWidth="1"/>
    <col min="137" max="137" width="4.26953125" style="1" customWidth="1"/>
    <col min="138" max="138" width="2.7265625" style="1" customWidth="1"/>
    <col min="139" max="139" width="4.7265625" style="1" customWidth="1"/>
    <col min="140" max="140" width="3.81640625" style="1" customWidth="1"/>
    <col min="141" max="141" width="8.1796875" style="1" customWidth="1"/>
    <col min="142" max="142" width="4.1796875" style="1" customWidth="1"/>
    <col min="143" max="143" width="2.7265625" style="1" customWidth="1"/>
    <col min="144" max="144" width="4.7265625" style="1" customWidth="1"/>
    <col min="145" max="145" width="3.7265625" style="1" customWidth="1"/>
    <col min="146" max="149" width="1.7265625" style="1" customWidth="1"/>
    <col min="150" max="150" width="4.7265625" style="1" customWidth="1"/>
    <col min="151" max="151" width="6.1796875" style="1" customWidth="1"/>
    <col min="152" max="16384" width="9.1796875" style="1"/>
  </cols>
  <sheetData>
    <row r="3" spans="1:159" x14ac:dyDescent="0.25">
      <c r="S3" s="177" t="s">
        <v>71</v>
      </c>
      <c r="T3" s="176"/>
      <c r="U3" s="176"/>
      <c r="V3" s="176"/>
      <c r="W3" s="176"/>
      <c r="X3" s="176"/>
      <c r="Y3" s="176"/>
      <c r="Z3" s="176"/>
      <c r="AA3" s="176"/>
      <c r="AB3" s="176"/>
      <c r="AC3" s="176"/>
      <c r="AD3" s="176"/>
      <c r="AE3" s="176"/>
      <c r="AF3" s="176"/>
      <c r="AG3" s="176"/>
    </row>
    <row r="5" spans="1:159" ht="12.75" customHeight="1" x14ac:dyDescent="0.25">
      <c r="C5" s="175"/>
      <c r="D5" s="175"/>
      <c r="E5" s="175"/>
      <c r="F5" s="240" t="s">
        <v>43</v>
      </c>
      <c r="G5" s="240"/>
      <c r="H5" s="240"/>
      <c r="I5" s="239">
        <v>1</v>
      </c>
    </row>
    <row r="6" spans="1:159" ht="12.75" customHeight="1" x14ac:dyDescent="0.25">
      <c r="C6" s="175"/>
      <c r="D6" s="175"/>
      <c r="E6" s="175"/>
      <c r="F6" s="240"/>
      <c r="G6" s="240"/>
      <c r="H6" s="240"/>
      <c r="I6" s="239"/>
    </row>
    <row r="7" spans="1:159" s="155" customFormat="1" ht="13" thickBot="1" x14ac:dyDescent="0.3">
      <c r="R7" s="154">
        <f>AL33</f>
        <v>1</v>
      </c>
      <c r="AJ7" s="154">
        <f>AL35</f>
        <v>2</v>
      </c>
      <c r="BB7" s="156">
        <f>AL37</f>
        <v>3</v>
      </c>
      <c r="BT7" s="156">
        <f>AL39</f>
        <v>4</v>
      </c>
      <c r="CL7" s="156">
        <f>AL41</f>
        <v>5</v>
      </c>
      <c r="DD7" s="156">
        <f>AL43</f>
        <v>6</v>
      </c>
      <c r="DV7" s="156">
        <f>AL45</f>
        <v>7</v>
      </c>
    </row>
    <row r="8" spans="1:159" ht="16" thickTop="1" x14ac:dyDescent="0.35">
      <c r="K8" s="84" t="s">
        <v>45</v>
      </c>
      <c r="L8" s="26"/>
      <c r="M8" s="26"/>
      <c r="N8" s="26"/>
      <c r="O8" s="26"/>
      <c r="P8" s="26"/>
      <c r="Q8" s="26"/>
      <c r="R8" s="148"/>
      <c r="S8" s="26"/>
      <c r="T8" s="26"/>
      <c r="U8" s="26"/>
      <c r="V8" s="26"/>
      <c r="W8" s="26"/>
      <c r="X8" s="26"/>
      <c r="Y8" s="26"/>
      <c r="Z8" s="26"/>
      <c r="AA8" s="26"/>
      <c r="AB8" s="26"/>
      <c r="AC8" s="84" t="s">
        <v>46</v>
      </c>
      <c r="AD8" s="26"/>
      <c r="AE8" s="26"/>
      <c r="AF8" s="26"/>
      <c r="AG8" s="26"/>
      <c r="AH8" s="26"/>
      <c r="AI8" s="26"/>
      <c r="AJ8" s="148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84" t="s">
        <v>47</v>
      </c>
      <c r="AV8" s="26"/>
      <c r="AW8" s="26"/>
      <c r="AX8" s="26"/>
      <c r="AY8" s="26"/>
      <c r="AZ8" s="26"/>
      <c r="BA8" s="26"/>
      <c r="BB8" s="148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84" t="s">
        <v>48</v>
      </c>
      <c r="BN8" s="26"/>
      <c r="BO8" s="26"/>
      <c r="BP8" s="26"/>
      <c r="BQ8" s="26"/>
      <c r="BR8" s="26"/>
      <c r="BS8" s="26"/>
      <c r="BT8" s="148"/>
      <c r="BU8" s="26"/>
      <c r="BV8" s="26"/>
      <c r="BW8" s="26"/>
      <c r="BX8" s="26"/>
      <c r="BY8" s="26"/>
      <c r="BZ8" s="26"/>
      <c r="CA8" s="26"/>
      <c r="CB8" s="26"/>
      <c r="CC8" s="26"/>
      <c r="CD8" s="26"/>
      <c r="CE8" s="84" t="s">
        <v>49</v>
      </c>
      <c r="CF8" s="26"/>
      <c r="CG8" s="26"/>
      <c r="CH8" s="26"/>
      <c r="CI8" s="26"/>
      <c r="CJ8" s="26"/>
      <c r="CK8" s="26"/>
      <c r="CL8" s="148"/>
      <c r="CM8" s="26"/>
      <c r="CN8" s="26"/>
      <c r="CO8" s="26"/>
      <c r="CP8" s="26"/>
      <c r="CQ8" s="26"/>
      <c r="CR8" s="26"/>
      <c r="CS8" s="26"/>
      <c r="CT8" s="26"/>
      <c r="CU8" s="26"/>
      <c r="CV8" s="26"/>
      <c r="CW8" s="84" t="s">
        <v>50</v>
      </c>
      <c r="CX8" s="26"/>
      <c r="CY8" s="26"/>
      <c r="CZ8" s="26"/>
      <c r="DA8" s="26"/>
      <c r="DB8" s="26"/>
      <c r="DC8" s="26"/>
      <c r="DD8" s="148"/>
      <c r="DE8" s="26"/>
      <c r="DF8" s="26"/>
      <c r="DG8" s="26"/>
      <c r="DH8" s="26"/>
      <c r="DI8" s="26"/>
      <c r="DJ8" s="26"/>
      <c r="DK8" s="26"/>
      <c r="DL8" s="26"/>
      <c r="DM8" s="26"/>
      <c r="DN8" s="26"/>
      <c r="DO8" s="84" t="s">
        <v>51</v>
      </c>
      <c r="DP8" s="26"/>
      <c r="DQ8" s="26"/>
      <c r="DR8" s="26"/>
      <c r="DS8" s="26"/>
      <c r="DT8" s="26"/>
      <c r="DU8" s="26"/>
      <c r="DV8" s="148"/>
      <c r="DW8" s="26"/>
      <c r="DX8" s="26"/>
      <c r="DY8" s="26"/>
      <c r="DZ8" s="26"/>
      <c r="EA8" s="26"/>
      <c r="EB8" s="26"/>
      <c r="EC8" s="26"/>
      <c r="ED8" s="26"/>
      <c r="EE8" s="26"/>
      <c r="EF8" s="26"/>
      <c r="EG8" s="84" t="s">
        <v>52</v>
      </c>
      <c r="EH8" s="26"/>
      <c r="EI8" s="26"/>
      <c r="EJ8" s="26"/>
      <c r="EK8" s="26"/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</row>
    <row r="9" spans="1:159" s="13" customFormat="1" x14ac:dyDescent="0.25">
      <c r="A9" s="21"/>
      <c r="B9" s="21"/>
      <c r="C9" s="21"/>
      <c r="D9" s="14"/>
      <c r="E9" s="21"/>
      <c r="F9" s="95" t="s">
        <v>5</v>
      </c>
      <c r="G9" s="219">
        <v>0.25</v>
      </c>
      <c r="H9" s="219"/>
      <c r="I9" s="92"/>
      <c r="R9" s="146"/>
      <c r="S9" s="21"/>
      <c r="T9" s="21"/>
      <c r="U9" s="21"/>
      <c r="V9" s="14"/>
      <c r="W9" s="21"/>
      <c r="X9" s="95" t="s">
        <v>5</v>
      </c>
      <c r="Y9" s="219">
        <v>0.5</v>
      </c>
      <c r="Z9" s="219"/>
      <c r="AA9" s="92"/>
      <c r="AJ9" s="146"/>
      <c r="AK9" s="21"/>
      <c r="AL9" s="21"/>
      <c r="AM9" s="21"/>
      <c r="AN9" s="14"/>
      <c r="AO9" s="21"/>
      <c r="AP9" s="95" t="s">
        <v>5</v>
      </c>
      <c r="AQ9" s="219">
        <v>0.5</v>
      </c>
      <c r="AR9" s="219"/>
      <c r="AS9" s="93"/>
      <c r="BB9" s="146"/>
      <c r="BC9" s="21"/>
      <c r="BD9" s="21"/>
      <c r="BE9" s="21"/>
      <c r="BF9" s="14"/>
      <c r="BG9" s="21"/>
      <c r="BH9" s="95" t="s">
        <v>5</v>
      </c>
      <c r="BI9" s="219">
        <v>0.5</v>
      </c>
      <c r="BJ9" s="219"/>
      <c r="BK9" s="93"/>
      <c r="BT9" s="146"/>
      <c r="BU9" s="21"/>
      <c r="BV9" s="21"/>
      <c r="BW9" s="21"/>
      <c r="BX9" s="14"/>
      <c r="BY9" s="21"/>
      <c r="BZ9" s="95" t="s">
        <v>5</v>
      </c>
      <c r="CA9" s="219">
        <v>0.25</v>
      </c>
      <c r="CB9" s="219"/>
      <c r="CC9" s="18"/>
      <c r="CL9" s="146"/>
      <c r="CM9" s="21"/>
      <c r="CN9" s="21"/>
      <c r="CO9" s="21"/>
      <c r="CP9" s="14"/>
      <c r="CQ9" s="21"/>
      <c r="CR9" s="95" t="s">
        <v>5</v>
      </c>
      <c r="CS9" s="219">
        <v>0.25</v>
      </c>
      <c r="CT9" s="219"/>
      <c r="CU9" s="93"/>
      <c r="DD9" s="146"/>
      <c r="DE9" s="21"/>
      <c r="DF9" s="21"/>
      <c r="DG9" s="21"/>
      <c r="DH9" s="14"/>
      <c r="DI9" s="21"/>
      <c r="DJ9" s="95" t="s">
        <v>5</v>
      </c>
      <c r="DK9" s="219">
        <v>0.25</v>
      </c>
      <c r="DL9" s="219"/>
      <c r="DM9" s="94"/>
      <c r="DV9" s="146"/>
      <c r="DW9" s="21"/>
      <c r="DX9" s="21"/>
      <c r="DY9" s="21"/>
      <c r="DZ9" s="14"/>
      <c r="EA9" s="21"/>
      <c r="EB9" s="95" t="s">
        <v>5</v>
      </c>
      <c r="EC9" s="219">
        <v>0.25</v>
      </c>
      <c r="ED9" s="219"/>
      <c r="EE9" s="18"/>
      <c r="EO9" s="21"/>
      <c r="EP9" s="21"/>
      <c r="EQ9" s="62"/>
      <c r="ER9" s="21"/>
      <c r="ES9" s="21"/>
      <c r="ET9" s="90" t="s">
        <v>5</v>
      </c>
      <c r="EU9" s="183">
        <v>0.25</v>
      </c>
      <c r="EV9" s="18"/>
      <c r="EW9" s="18"/>
    </row>
    <row r="10" spans="1:159" x14ac:dyDescent="0.25">
      <c r="A10" s="9"/>
      <c r="B10" s="33"/>
      <c r="C10" s="34"/>
      <c r="D10" s="35"/>
      <c r="E10" s="36"/>
      <c r="F10" s="9"/>
      <c r="S10" s="9"/>
      <c r="T10" s="33"/>
      <c r="U10" s="34"/>
      <c r="V10" s="35"/>
      <c r="W10" s="36"/>
      <c r="X10" s="9"/>
      <c r="AK10" s="9"/>
      <c r="AL10" s="33"/>
      <c r="AM10" s="34"/>
      <c r="AN10" s="35"/>
      <c r="AO10" s="36"/>
      <c r="AP10" s="9"/>
      <c r="BC10" s="9"/>
      <c r="BD10" s="33"/>
      <c r="BE10" s="34"/>
      <c r="BF10" s="35"/>
      <c r="BG10" s="36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33"/>
      <c r="BW10" s="60"/>
      <c r="BX10" s="35"/>
      <c r="BY10" s="36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33"/>
      <c r="CO10" s="34"/>
      <c r="CP10" s="35"/>
      <c r="CQ10" s="36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33"/>
      <c r="DG10" s="34"/>
      <c r="DH10" s="35"/>
      <c r="DI10" s="36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33"/>
      <c r="DY10" s="34"/>
      <c r="DZ10" s="35"/>
      <c r="EA10" s="36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33"/>
      <c r="EQ10" s="60"/>
      <c r="ER10" s="34"/>
      <c r="ES10" s="36"/>
      <c r="ET10" s="9"/>
      <c r="EU10" s="181"/>
      <c r="EV10" s="9"/>
      <c r="EW10" s="9"/>
      <c r="EX10" s="9"/>
      <c r="EY10" s="9"/>
      <c r="EZ10" s="9"/>
    </row>
    <row r="11" spans="1:159" s="13" customFormat="1" x14ac:dyDescent="0.25">
      <c r="B11" s="37"/>
      <c r="C11" s="38"/>
      <c r="D11" s="39"/>
      <c r="E11" s="40"/>
      <c r="G11" s="214">
        <v>1</v>
      </c>
      <c r="H11" s="214"/>
      <c r="P11" s="222">
        <v>1.2</v>
      </c>
      <c r="Q11" s="222"/>
      <c r="T11" s="37"/>
      <c r="U11" s="46"/>
      <c r="V11" s="39"/>
      <c r="W11" s="40"/>
      <c r="Y11" s="214">
        <v>1.2</v>
      </c>
      <c r="Z11" s="214"/>
      <c r="AC11" s="24" t="s">
        <v>3</v>
      </c>
      <c r="AD11" s="221">
        <v>0.2</v>
      </c>
      <c r="AE11" s="221"/>
      <c r="AH11" s="214">
        <v>1.5</v>
      </c>
      <c r="AI11" s="214"/>
      <c r="AL11" s="37"/>
      <c r="AM11" s="38"/>
      <c r="AN11" s="39"/>
      <c r="AO11" s="40"/>
      <c r="AQ11" s="214">
        <v>1.5</v>
      </c>
      <c r="AR11" s="214"/>
      <c r="AU11" s="83" t="s">
        <v>3</v>
      </c>
      <c r="AV11" s="221">
        <v>0.2</v>
      </c>
      <c r="AW11" s="221"/>
      <c r="AZ11" s="222">
        <v>1.5</v>
      </c>
      <c r="BA11" s="222"/>
      <c r="BD11" s="37"/>
      <c r="BE11" s="38"/>
      <c r="BF11" s="39"/>
      <c r="BG11" s="40"/>
      <c r="BI11" s="214">
        <v>1.5</v>
      </c>
      <c r="BJ11" s="214"/>
      <c r="BM11" s="13" t="s">
        <v>3</v>
      </c>
      <c r="BN11" s="221">
        <v>0</v>
      </c>
      <c r="BO11" s="221"/>
      <c r="BR11" s="214">
        <v>1.5</v>
      </c>
      <c r="BS11" s="214"/>
      <c r="BV11" s="37"/>
      <c r="BW11" s="61"/>
      <c r="BX11" s="39"/>
      <c r="BY11" s="40"/>
      <c r="CA11" s="214">
        <v>1.5</v>
      </c>
      <c r="CB11" s="214"/>
      <c r="CE11" s="87" t="s">
        <v>3</v>
      </c>
      <c r="CF11" s="221">
        <v>0</v>
      </c>
      <c r="CG11" s="221"/>
      <c r="CJ11" s="225">
        <v>1.5</v>
      </c>
      <c r="CK11" s="225"/>
      <c r="CN11" s="37"/>
      <c r="CO11" s="46"/>
      <c r="CP11" s="39"/>
      <c r="CQ11" s="40"/>
      <c r="CS11" s="214">
        <v>1.5</v>
      </c>
      <c r="CT11" s="214"/>
      <c r="CW11" s="81" t="s">
        <v>3</v>
      </c>
      <c r="CX11" s="221">
        <v>0</v>
      </c>
      <c r="CY11" s="221"/>
      <c r="DB11" s="214">
        <v>0</v>
      </c>
      <c r="DC11" s="214"/>
      <c r="DF11" s="37"/>
      <c r="DG11" s="46"/>
      <c r="DH11" s="39"/>
      <c r="DI11" s="40"/>
      <c r="DK11" s="223">
        <v>1.5</v>
      </c>
      <c r="DL11" s="223"/>
      <c r="DO11" s="83" t="s">
        <v>3</v>
      </c>
      <c r="DP11" s="221">
        <v>0</v>
      </c>
      <c r="DQ11" s="221"/>
      <c r="DT11" s="222">
        <v>1.5</v>
      </c>
      <c r="DU11" s="222"/>
      <c r="DX11" s="37"/>
      <c r="DY11" s="46"/>
      <c r="DZ11" s="39"/>
      <c r="EA11" s="40"/>
      <c r="EC11" s="214">
        <v>1.5</v>
      </c>
      <c r="ED11" s="214"/>
      <c r="EG11" s="19" t="s">
        <v>3</v>
      </c>
      <c r="EH11" s="221">
        <v>0</v>
      </c>
      <c r="EI11" s="221"/>
      <c r="EL11" s="214">
        <v>1.5</v>
      </c>
      <c r="EM11" s="214"/>
      <c r="EP11" s="37"/>
      <c r="EQ11" s="61"/>
      <c r="ER11" s="46"/>
      <c r="ES11" s="40"/>
      <c r="EU11" s="24"/>
    </row>
    <row r="12" spans="1:159" x14ac:dyDescent="0.25">
      <c r="B12" s="33"/>
      <c r="C12" s="41"/>
      <c r="D12" s="35"/>
      <c r="E12" s="36"/>
      <c r="T12" s="33"/>
      <c r="U12" s="34"/>
      <c r="V12" s="35"/>
      <c r="W12" s="36"/>
      <c r="AB12" s="9"/>
      <c r="AC12" s="9"/>
      <c r="AL12" s="33"/>
      <c r="AM12" s="41"/>
      <c r="AN12" s="35"/>
      <c r="AO12" s="36"/>
      <c r="BD12" s="33"/>
      <c r="BE12" s="41"/>
      <c r="BF12" s="35"/>
      <c r="BG12" s="36"/>
      <c r="BL12" s="9"/>
      <c r="BM12" s="9"/>
      <c r="BV12" s="33"/>
      <c r="BW12" s="60"/>
      <c r="BX12" s="35"/>
      <c r="BY12" s="36"/>
      <c r="CN12" s="33"/>
      <c r="CO12" s="34"/>
      <c r="CP12" s="35"/>
      <c r="CQ12" s="36"/>
      <c r="CV12" s="9"/>
      <c r="CW12" s="9"/>
      <c r="DF12" s="33"/>
      <c r="DG12" s="34"/>
      <c r="DH12" s="35"/>
      <c r="DI12" s="36"/>
      <c r="DX12" s="33"/>
      <c r="DY12" s="34"/>
      <c r="DZ12" s="35"/>
      <c r="EA12" s="36"/>
      <c r="EF12" s="9"/>
      <c r="EG12" s="9"/>
      <c r="EP12" s="33"/>
      <c r="EQ12" s="60"/>
      <c r="ER12" s="34"/>
      <c r="ES12" s="36"/>
      <c r="EU12" s="186"/>
    </row>
    <row r="13" spans="1:159" ht="9" customHeight="1" thickBot="1" x14ac:dyDescent="0.3">
      <c r="B13" s="33"/>
      <c r="C13" s="41"/>
      <c r="D13" s="35"/>
      <c r="E13" s="34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41"/>
      <c r="U13" s="41"/>
      <c r="V13" s="35"/>
      <c r="W13" s="36"/>
      <c r="X13" s="2"/>
      <c r="Y13" s="2"/>
      <c r="Z13" s="2"/>
      <c r="AA13" s="2"/>
      <c r="AB13" s="82"/>
      <c r="AC13" s="82"/>
      <c r="AL13" s="33"/>
      <c r="AM13" s="41"/>
      <c r="AN13" s="35"/>
      <c r="AO13" s="41"/>
      <c r="AP13" s="59"/>
      <c r="AQ13" s="59"/>
      <c r="AR13" s="59"/>
      <c r="AS13" s="59"/>
      <c r="AT13" s="59"/>
      <c r="AU13" s="59"/>
      <c r="AV13" s="59"/>
      <c r="AW13" s="59"/>
      <c r="AX13" s="59"/>
      <c r="AY13" s="59"/>
      <c r="AZ13" s="59"/>
      <c r="BA13" s="59"/>
      <c r="BB13" s="59"/>
      <c r="BC13" s="59"/>
      <c r="BD13" s="41"/>
      <c r="BE13" s="41"/>
      <c r="BF13" s="35"/>
      <c r="BG13" s="36"/>
      <c r="BH13" s="2"/>
      <c r="BI13" s="2"/>
      <c r="BJ13" s="2"/>
      <c r="BK13" s="2"/>
      <c r="BL13" s="9"/>
      <c r="BM13" s="9"/>
      <c r="BV13" s="33"/>
      <c r="BW13" s="60"/>
      <c r="BX13" s="35"/>
      <c r="BY13" s="41"/>
      <c r="BZ13" s="59"/>
      <c r="CA13" s="59"/>
      <c r="CB13" s="59"/>
      <c r="CC13" s="59"/>
      <c r="CD13" s="59"/>
      <c r="CE13" s="59"/>
      <c r="CF13" s="59"/>
      <c r="CG13" s="59"/>
      <c r="CH13" s="59"/>
      <c r="CI13" s="59"/>
      <c r="CJ13" s="59"/>
      <c r="CK13" s="59"/>
      <c r="CL13" s="59"/>
      <c r="CM13" s="59"/>
      <c r="CN13" s="41"/>
      <c r="CO13" s="41"/>
      <c r="CP13" s="35"/>
      <c r="CQ13" s="36"/>
      <c r="CR13" s="2"/>
      <c r="CS13" s="2"/>
      <c r="CT13" s="2"/>
      <c r="CU13" s="2"/>
      <c r="CV13" s="9"/>
      <c r="CW13" s="9"/>
      <c r="DF13" s="33"/>
      <c r="DG13" s="41"/>
      <c r="DH13" s="35"/>
      <c r="DI13" s="41"/>
      <c r="DJ13" s="59"/>
      <c r="DK13" s="59"/>
      <c r="DL13" s="59"/>
      <c r="DM13" s="59"/>
      <c r="DN13" s="59"/>
      <c r="DO13" s="59"/>
      <c r="DP13" s="59"/>
      <c r="DQ13" s="59"/>
      <c r="DR13" s="59"/>
      <c r="DS13" s="59"/>
      <c r="DT13" s="59"/>
      <c r="DU13" s="59"/>
      <c r="DV13" s="59"/>
      <c r="DW13" s="59"/>
      <c r="DX13" s="41"/>
      <c r="DY13" s="41"/>
      <c r="DZ13" s="35"/>
      <c r="EA13" s="36"/>
      <c r="EB13" s="2"/>
      <c r="EC13" s="2"/>
      <c r="ED13" s="2"/>
      <c r="EE13" s="2"/>
      <c r="EF13" s="9"/>
      <c r="EG13" s="9"/>
      <c r="EP13" s="33"/>
      <c r="EQ13" s="60"/>
      <c r="ER13" s="34"/>
      <c r="ES13" s="36"/>
      <c r="EU13" s="186"/>
    </row>
    <row r="14" spans="1:159" ht="9" customHeight="1" thickTop="1" thickBot="1" x14ac:dyDescent="0.3">
      <c r="B14" s="33"/>
      <c r="C14" s="42"/>
      <c r="D14" s="43"/>
      <c r="E14" s="44"/>
      <c r="F14" s="120"/>
      <c r="G14" s="44"/>
      <c r="H14" s="44"/>
      <c r="I14" s="44"/>
      <c r="J14" s="120"/>
      <c r="K14" s="44"/>
      <c r="L14" s="44"/>
      <c r="M14" s="44"/>
      <c r="N14" s="44"/>
      <c r="O14" s="120"/>
      <c r="P14" s="44"/>
      <c r="Q14" s="44"/>
      <c r="R14" s="44"/>
      <c r="S14" s="44"/>
      <c r="T14" s="44"/>
      <c r="U14" s="44"/>
      <c r="V14" s="54"/>
      <c r="W14" s="41"/>
      <c r="X14" s="59"/>
      <c r="Y14" s="59"/>
      <c r="Z14" s="59"/>
      <c r="AA14" s="59"/>
      <c r="AB14" s="59"/>
      <c r="AC14" s="59"/>
      <c r="AD14" s="59"/>
      <c r="AE14" s="59"/>
      <c r="AF14" s="59"/>
      <c r="AG14" s="59"/>
      <c r="AH14" s="59"/>
      <c r="AI14" s="59"/>
      <c r="AJ14" s="59"/>
      <c r="AK14" s="59"/>
      <c r="AL14" s="34"/>
      <c r="AM14" s="42"/>
      <c r="AN14" s="43"/>
      <c r="AO14" s="44"/>
      <c r="AP14" s="120"/>
      <c r="AQ14" s="44"/>
      <c r="AR14" s="44"/>
      <c r="AS14" s="44"/>
      <c r="AT14" s="120"/>
      <c r="AU14" s="44"/>
      <c r="AV14" s="44"/>
      <c r="AW14" s="44"/>
      <c r="AX14" s="44"/>
      <c r="AY14" s="120"/>
      <c r="AZ14" s="44"/>
      <c r="BA14" s="44"/>
      <c r="BB14" s="44"/>
      <c r="BC14" s="44"/>
      <c r="BD14" s="44"/>
      <c r="BE14" s="44"/>
      <c r="BF14" s="54"/>
      <c r="BG14" s="41"/>
      <c r="BH14" s="59"/>
      <c r="BI14" s="59"/>
      <c r="BJ14" s="59"/>
      <c r="BK14" s="59"/>
      <c r="BL14" s="59"/>
      <c r="BM14" s="59"/>
      <c r="BN14" s="59"/>
      <c r="BO14" s="59"/>
      <c r="BP14" s="59"/>
      <c r="BQ14" s="59"/>
      <c r="BR14" s="59"/>
      <c r="BS14" s="59"/>
      <c r="BT14" s="59"/>
      <c r="BU14" s="59"/>
      <c r="BV14" s="34"/>
      <c r="BW14" s="42"/>
      <c r="BX14" s="43"/>
      <c r="BY14" s="44"/>
      <c r="BZ14" s="120"/>
      <c r="CA14" s="44"/>
      <c r="CB14" s="44"/>
      <c r="CC14" s="44"/>
      <c r="CD14" s="120"/>
      <c r="CE14" s="44"/>
      <c r="CF14" s="44"/>
      <c r="CG14" s="44"/>
      <c r="CH14" s="44"/>
      <c r="CI14" s="120"/>
      <c r="CJ14" s="44"/>
      <c r="CK14" s="44"/>
      <c r="CL14" s="44"/>
      <c r="CM14" s="44"/>
      <c r="CN14" s="44"/>
      <c r="CO14" s="44"/>
      <c r="CP14" s="54"/>
      <c r="CQ14" s="41"/>
      <c r="CR14" s="59"/>
      <c r="CS14" s="59"/>
      <c r="CT14" s="59"/>
      <c r="CU14" s="59"/>
      <c r="CV14" s="59"/>
      <c r="CW14" s="59"/>
      <c r="CX14" s="59"/>
      <c r="CY14" s="59"/>
      <c r="CZ14" s="59"/>
      <c r="DA14" s="59"/>
      <c r="DB14" s="59"/>
      <c r="DC14" s="59"/>
      <c r="DD14" s="59"/>
      <c r="DE14" s="59"/>
      <c r="DF14" s="34"/>
      <c r="DG14" s="42"/>
      <c r="DH14" s="43"/>
      <c r="DI14" s="44"/>
      <c r="DJ14" s="120"/>
      <c r="DK14" s="44"/>
      <c r="DL14" s="44"/>
      <c r="DM14" s="44"/>
      <c r="DN14" s="120"/>
      <c r="DO14" s="44"/>
      <c r="DP14" s="44"/>
      <c r="DQ14" s="44"/>
      <c r="DR14" s="44"/>
      <c r="DS14" s="120"/>
      <c r="DT14" s="44"/>
      <c r="DU14" s="44"/>
      <c r="DV14" s="44"/>
      <c r="DW14" s="44"/>
      <c r="DX14" s="44"/>
      <c r="DY14" s="44"/>
      <c r="DZ14" s="54"/>
      <c r="EA14" s="41"/>
      <c r="EB14" s="59"/>
      <c r="EC14" s="59"/>
      <c r="ED14" s="59"/>
      <c r="EE14" s="59"/>
      <c r="EF14" s="59"/>
      <c r="EG14" s="59"/>
      <c r="EH14" s="59"/>
      <c r="EI14" s="59"/>
      <c r="EJ14" s="59"/>
      <c r="EK14" s="59"/>
      <c r="EL14" s="59"/>
      <c r="EM14" s="59"/>
      <c r="EN14" s="59"/>
      <c r="EO14" s="59"/>
      <c r="EP14" s="34"/>
      <c r="EQ14" s="60"/>
      <c r="ER14" s="34"/>
      <c r="ES14" s="36"/>
      <c r="EU14" s="186"/>
    </row>
    <row r="15" spans="1:159" s="13" customFormat="1" ht="16.5" customHeight="1" thickTop="1" x14ac:dyDescent="0.25">
      <c r="B15" s="37"/>
      <c r="C15" s="45"/>
      <c r="D15" s="39"/>
      <c r="E15" s="46"/>
      <c r="F15" s="77"/>
      <c r="G15" s="159">
        <v>8</v>
      </c>
      <c r="H15" s="218">
        <v>0.15</v>
      </c>
      <c r="I15" s="218"/>
      <c r="J15" s="77"/>
      <c r="K15" s="160">
        <v>8</v>
      </c>
      <c r="L15" s="218">
        <v>0.2</v>
      </c>
      <c r="M15" s="218"/>
      <c r="N15" s="51"/>
      <c r="O15" s="77"/>
      <c r="P15" s="158">
        <v>8</v>
      </c>
      <c r="Q15" s="218">
        <v>0.15</v>
      </c>
      <c r="R15" s="218"/>
      <c r="S15" s="63"/>
      <c r="T15" s="64"/>
      <c r="U15" s="64"/>
      <c r="V15" s="65"/>
      <c r="W15" s="64"/>
      <c r="X15" s="64"/>
      <c r="Y15" s="129"/>
      <c r="Z15" s="64"/>
      <c r="AA15" s="66"/>
      <c r="AB15" s="64"/>
      <c r="AC15" s="133"/>
      <c r="AD15" s="64"/>
      <c r="AE15" s="66"/>
      <c r="AF15" s="64"/>
      <c r="AG15" s="64"/>
      <c r="AH15" s="129"/>
      <c r="AI15" s="64"/>
      <c r="AJ15" s="64"/>
      <c r="AK15" s="64"/>
      <c r="AL15" s="64"/>
      <c r="AM15" s="74"/>
      <c r="AN15" s="68"/>
      <c r="AO15" s="64"/>
      <c r="AP15" s="77"/>
      <c r="AQ15" s="158">
        <v>8</v>
      </c>
      <c r="AR15" s="218">
        <v>0.15</v>
      </c>
      <c r="AS15" s="218"/>
      <c r="AT15" s="136"/>
      <c r="AU15" s="160">
        <v>8</v>
      </c>
      <c r="AV15" s="218">
        <v>0.2</v>
      </c>
      <c r="AW15" s="218"/>
      <c r="AX15" s="51"/>
      <c r="AY15" s="77"/>
      <c r="AZ15" s="158">
        <v>8</v>
      </c>
      <c r="BA15" s="218">
        <v>0.15</v>
      </c>
      <c r="BB15" s="218"/>
      <c r="BC15" s="64"/>
      <c r="BD15" s="64"/>
      <c r="BE15" s="64"/>
      <c r="BF15" s="65"/>
      <c r="BG15" s="64"/>
      <c r="BH15" s="64"/>
      <c r="BI15" s="129"/>
      <c r="BJ15" s="64"/>
      <c r="BK15" s="66"/>
      <c r="BL15" s="76"/>
      <c r="BM15" s="67"/>
      <c r="BN15" s="64"/>
      <c r="BO15" s="66"/>
      <c r="BP15" s="64"/>
      <c r="BQ15" s="76"/>
      <c r="BR15" s="64"/>
      <c r="BS15" s="64"/>
      <c r="BT15" s="64"/>
      <c r="BU15" s="64"/>
      <c r="BV15" s="64"/>
      <c r="BW15" s="74"/>
      <c r="BX15" s="68"/>
      <c r="BY15" s="64"/>
      <c r="BZ15" s="77"/>
      <c r="CA15" s="158">
        <v>8</v>
      </c>
      <c r="CB15" s="218">
        <v>0.15</v>
      </c>
      <c r="CC15" s="218"/>
      <c r="CD15" s="138"/>
      <c r="CE15" s="159">
        <v>8</v>
      </c>
      <c r="CF15" s="217">
        <v>0.2</v>
      </c>
      <c r="CG15" s="217"/>
      <c r="CH15" s="86"/>
      <c r="CI15" s="139"/>
      <c r="CJ15" s="158">
        <v>8</v>
      </c>
      <c r="CK15" s="217">
        <v>0.15</v>
      </c>
      <c r="CL15" s="217"/>
      <c r="CM15" s="64"/>
      <c r="CN15" s="64"/>
      <c r="CO15" s="64"/>
      <c r="CP15" s="65"/>
      <c r="CQ15" s="64"/>
      <c r="CR15" s="76"/>
      <c r="CS15" s="64"/>
      <c r="CT15" s="64"/>
      <c r="CU15" s="66"/>
      <c r="CV15" s="76"/>
      <c r="CW15" s="67"/>
      <c r="CX15" s="64"/>
      <c r="CY15" s="66"/>
      <c r="CZ15" s="64"/>
      <c r="DA15" s="76"/>
      <c r="DB15" s="64"/>
      <c r="DC15" s="64"/>
      <c r="DD15" s="64"/>
      <c r="DE15" s="64"/>
      <c r="DF15" s="64"/>
      <c r="DG15" s="74"/>
      <c r="DH15" s="68"/>
      <c r="DI15" s="64"/>
      <c r="DJ15" s="77"/>
      <c r="DK15" s="158">
        <v>8</v>
      </c>
      <c r="DL15" s="218">
        <v>0.15</v>
      </c>
      <c r="DM15" s="218"/>
      <c r="DN15" s="143"/>
      <c r="DO15" s="165">
        <v>8</v>
      </c>
      <c r="DP15" s="217">
        <v>0.2</v>
      </c>
      <c r="DQ15" s="217"/>
      <c r="DR15" s="88"/>
      <c r="DS15" s="139"/>
      <c r="DT15" s="158">
        <v>8</v>
      </c>
      <c r="DU15" s="218">
        <v>0.15</v>
      </c>
      <c r="DV15" s="218"/>
      <c r="DW15" s="44"/>
      <c r="DX15" s="64"/>
      <c r="DY15" s="64"/>
      <c r="DZ15" s="65"/>
      <c r="EA15" s="64"/>
      <c r="EB15" s="76"/>
      <c r="EC15" s="64"/>
      <c r="ED15" s="64"/>
      <c r="EE15" s="66"/>
      <c r="EF15" s="76"/>
      <c r="EG15" s="67"/>
      <c r="EH15" s="64"/>
      <c r="EI15" s="66"/>
      <c r="EJ15" s="64"/>
      <c r="EK15" s="76"/>
      <c r="EL15" s="64" t="s">
        <v>18</v>
      </c>
      <c r="EM15" s="64"/>
      <c r="EN15" s="64"/>
      <c r="EO15" s="64"/>
      <c r="EP15" s="64"/>
      <c r="EQ15" s="75"/>
      <c r="ER15" s="76"/>
      <c r="ES15" s="36"/>
      <c r="EU15" s="24"/>
    </row>
    <row r="16" spans="1:159" s="13" customFormat="1" ht="16.5" customHeight="1" x14ac:dyDescent="0.25">
      <c r="B16" s="37"/>
      <c r="C16" s="45"/>
      <c r="D16" s="45"/>
      <c r="E16" s="46"/>
      <c r="F16" s="77"/>
      <c r="G16" s="46"/>
      <c r="H16" s="46"/>
      <c r="I16" s="121"/>
      <c r="J16" s="77"/>
      <c r="K16" s="52"/>
      <c r="L16" s="52"/>
      <c r="M16" s="52"/>
      <c r="N16" s="46"/>
      <c r="O16" s="125"/>
      <c r="P16" s="46"/>
      <c r="Q16" s="46"/>
      <c r="R16" s="46"/>
      <c r="S16" s="46"/>
      <c r="T16" s="46"/>
      <c r="U16" s="70"/>
      <c r="V16" s="55"/>
      <c r="W16" s="46"/>
      <c r="X16" s="46"/>
      <c r="Y16" s="161">
        <v>8</v>
      </c>
      <c r="Z16" s="217">
        <v>0.15</v>
      </c>
      <c r="AA16" s="217"/>
      <c r="AB16" s="57"/>
      <c r="AC16" s="162">
        <v>8</v>
      </c>
      <c r="AD16" s="217">
        <v>0.2</v>
      </c>
      <c r="AE16" s="217"/>
      <c r="AF16" s="58"/>
      <c r="AG16" s="46"/>
      <c r="AH16" s="161">
        <v>8</v>
      </c>
      <c r="AI16" s="218">
        <v>0.15</v>
      </c>
      <c r="AJ16" s="218"/>
      <c r="AK16" s="58"/>
      <c r="AL16" s="46"/>
      <c r="AM16" s="70"/>
      <c r="AN16" s="55"/>
      <c r="AO16" s="46"/>
      <c r="AP16" s="77"/>
      <c r="AQ16" s="46"/>
      <c r="AR16" s="46"/>
      <c r="AS16" s="46"/>
      <c r="AT16" s="125"/>
      <c r="AU16" s="52"/>
      <c r="AV16" s="52"/>
      <c r="AW16" s="52"/>
      <c r="AX16" s="46"/>
      <c r="AY16" s="125"/>
      <c r="AZ16" s="46"/>
      <c r="BA16" s="46"/>
      <c r="BB16" s="46"/>
      <c r="BC16" s="46"/>
      <c r="BD16" s="46"/>
      <c r="BE16" s="70"/>
      <c r="BF16" s="55"/>
      <c r="BG16" s="46"/>
      <c r="BH16" s="46"/>
      <c r="BI16" s="162">
        <v>8</v>
      </c>
      <c r="BJ16" s="218">
        <v>0.15</v>
      </c>
      <c r="BK16" s="218"/>
      <c r="BL16" s="138"/>
      <c r="BM16" s="160">
        <v>8</v>
      </c>
      <c r="BN16" s="217">
        <v>0.2</v>
      </c>
      <c r="BO16" s="217"/>
      <c r="BP16" s="85"/>
      <c r="BQ16" s="139"/>
      <c r="BR16" s="158">
        <v>8</v>
      </c>
      <c r="BS16" s="218">
        <v>0.15</v>
      </c>
      <c r="BT16" s="218"/>
      <c r="BU16" s="58"/>
      <c r="BV16" s="46"/>
      <c r="BW16" s="70"/>
      <c r="BX16" s="55"/>
      <c r="BY16" s="46"/>
      <c r="BZ16" s="77"/>
      <c r="CA16" s="46"/>
      <c r="CB16" s="46"/>
      <c r="CC16" s="121"/>
      <c r="CD16" s="77"/>
      <c r="CE16" s="52"/>
      <c r="CF16" s="52"/>
      <c r="CG16" s="52"/>
      <c r="CH16" s="121"/>
      <c r="CI16" s="77"/>
      <c r="CJ16" s="46"/>
      <c r="CK16" s="46"/>
      <c r="CL16" s="46"/>
      <c r="CM16" s="46"/>
      <c r="CN16" s="46"/>
      <c r="CO16" s="70"/>
      <c r="CP16" s="55"/>
      <c r="CQ16" s="46"/>
      <c r="CR16" s="77"/>
      <c r="CS16" s="163">
        <v>8</v>
      </c>
      <c r="CT16" s="215">
        <v>0.15</v>
      </c>
      <c r="CU16" s="215"/>
      <c r="CV16" s="142"/>
      <c r="CW16" s="164">
        <v>8</v>
      </c>
      <c r="CX16" s="215">
        <v>0.2</v>
      </c>
      <c r="CY16" s="215"/>
      <c r="CZ16" s="58"/>
      <c r="DA16" s="77"/>
      <c r="DB16" s="163">
        <v>8</v>
      </c>
      <c r="DC16" s="228">
        <v>0.15</v>
      </c>
      <c r="DD16" s="228"/>
      <c r="DE16" s="46"/>
      <c r="DF16" s="46"/>
      <c r="DG16" s="70"/>
      <c r="DH16" s="55"/>
      <c r="DI16" s="46"/>
      <c r="DJ16" s="77"/>
      <c r="DK16" s="46"/>
      <c r="DL16" s="46"/>
      <c r="DM16" s="121"/>
      <c r="DN16" s="77"/>
      <c r="DO16" s="52"/>
      <c r="DP16" s="52"/>
      <c r="DQ16" s="52"/>
      <c r="DR16" s="46"/>
      <c r="DS16" s="125"/>
      <c r="DT16" s="46"/>
      <c r="DU16" s="46"/>
      <c r="DV16" s="46"/>
      <c r="DW16" s="46"/>
      <c r="DX16" s="46"/>
      <c r="DY16" s="70"/>
      <c r="DZ16" s="55"/>
      <c r="EA16" s="46"/>
      <c r="EB16" s="77"/>
      <c r="EC16" s="158">
        <v>8</v>
      </c>
      <c r="ED16" s="217">
        <v>0.15</v>
      </c>
      <c r="EE16" s="217"/>
      <c r="EF16" s="143"/>
      <c r="EG16" s="159">
        <v>8</v>
      </c>
      <c r="EH16" s="218">
        <v>0.2</v>
      </c>
      <c r="EI16" s="218"/>
      <c r="EJ16" s="85"/>
      <c r="EK16" s="139"/>
      <c r="EL16" s="158">
        <v>8</v>
      </c>
      <c r="EM16" s="218">
        <v>0.15</v>
      </c>
      <c r="EN16" s="218"/>
      <c r="EO16" s="46"/>
      <c r="EP16" s="46"/>
      <c r="EQ16" s="77"/>
      <c r="ER16" s="77"/>
      <c r="ES16" s="40"/>
      <c r="EU16" s="24"/>
    </row>
    <row r="17" spans="1:151" ht="7.5" customHeight="1" thickBot="1" x14ac:dyDescent="0.3">
      <c r="B17" s="33"/>
      <c r="C17" s="47"/>
      <c r="D17" s="48"/>
      <c r="E17" s="49"/>
      <c r="F17" s="79"/>
      <c r="G17" s="49"/>
      <c r="H17" s="49"/>
      <c r="I17" s="122"/>
      <c r="J17" s="79"/>
      <c r="K17" s="49"/>
      <c r="L17" s="49"/>
      <c r="M17" s="49"/>
      <c r="N17" s="49"/>
      <c r="O17" s="126"/>
      <c r="P17" s="49"/>
      <c r="Q17" s="49"/>
      <c r="R17" s="49"/>
      <c r="S17" s="49"/>
      <c r="T17" s="49"/>
      <c r="U17" s="71"/>
      <c r="V17" s="56"/>
      <c r="W17" s="34"/>
      <c r="X17" s="34"/>
      <c r="Y17" s="47"/>
      <c r="Z17" s="34"/>
      <c r="AA17" s="132"/>
      <c r="AB17" s="34"/>
      <c r="AC17" s="47"/>
      <c r="AD17" s="34"/>
      <c r="AE17" s="34"/>
      <c r="AF17" s="34"/>
      <c r="AG17" s="134"/>
      <c r="AH17" s="47"/>
      <c r="AI17" s="34"/>
      <c r="AJ17" s="34"/>
      <c r="AK17" s="49"/>
      <c r="AL17" s="49"/>
      <c r="AM17" s="49"/>
      <c r="AN17" s="72"/>
      <c r="AO17" s="49"/>
      <c r="AP17" s="79"/>
      <c r="AQ17" s="49"/>
      <c r="AR17" s="49"/>
      <c r="AS17" s="49"/>
      <c r="AT17" s="126"/>
      <c r="AU17" s="49"/>
      <c r="AV17" s="49"/>
      <c r="AW17" s="49"/>
      <c r="AX17" s="49"/>
      <c r="AY17" s="126"/>
      <c r="AZ17" s="49"/>
      <c r="BA17" s="49"/>
      <c r="BB17" s="49"/>
      <c r="BC17" s="49"/>
      <c r="BD17" s="49"/>
      <c r="BE17" s="71"/>
      <c r="BF17" s="56"/>
      <c r="BG17" s="34"/>
      <c r="BH17" s="34"/>
      <c r="BI17" s="47"/>
      <c r="BJ17" s="34"/>
      <c r="BK17" s="132"/>
      <c r="BL17" s="78"/>
      <c r="BM17" s="34"/>
      <c r="BN17" s="34"/>
      <c r="BO17" s="34"/>
      <c r="BP17" s="34"/>
      <c r="BQ17" s="140"/>
      <c r="BR17" s="34"/>
      <c r="BS17" s="34"/>
      <c r="BT17" s="34"/>
      <c r="BU17" s="49"/>
      <c r="BV17" s="49"/>
      <c r="BW17" s="49"/>
      <c r="BX17" s="72"/>
      <c r="BY17" s="49"/>
      <c r="BZ17" s="79"/>
      <c r="CA17" s="49"/>
      <c r="CB17" s="49"/>
      <c r="CC17" s="122"/>
      <c r="CD17" s="79"/>
      <c r="CE17" s="49"/>
      <c r="CF17" s="49"/>
      <c r="CG17" s="49"/>
      <c r="CH17" s="122"/>
      <c r="CI17" s="79"/>
      <c r="CJ17" s="49"/>
      <c r="CK17" s="49"/>
      <c r="CL17" s="49"/>
      <c r="CM17" s="49"/>
      <c r="CN17" s="49"/>
      <c r="CO17" s="71"/>
      <c r="CP17" s="56"/>
      <c r="CQ17" s="34"/>
      <c r="CR17" s="78"/>
      <c r="CS17" s="34"/>
      <c r="CT17" s="34"/>
      <c r="CU17" s="132"/>
      <c r="CV17" s="78"/>
      <c r="CW17" s="34"/>
      <c r="CX17" s="34"/>
      <c r="CY17" s="34"/>
      <c r="CZ17" s="34"/>
      <c r="DA17" s="140"/>
      <c r="DB17" s="34"/>
      <c r="DC17" s="34"/>
      <c r="DD17" s="34"/>
      <c r="DE17" s="49"/>
      <c r="DF17" s="49"/>
      <c r="DG17" s="49"/>
      <c r="DH17" s="72"/>
      <c r="DI17" s="49"/>
      <c r="DJ17" s="79"/>
      <c r="DK17" s="49"/>
      <c r="DL17" s="49"/>
      <c r="DM17" s="122"/>
      <c r="DN17" s="79"/>
      <c r="DO17" s="49"/>
      <c r="DP17" s="49"/>
      <c r="DQ17" s="49"/>
      <c r="DR17" s="49"/>
      <c r="DS17" s="126"/>
      <c r="DT17" s="49"/>
      <c r="DU17" s="49"/>
      <c r="DV17" s="49"/>
      <c r="DW17" s="49"/>
      <c r="DX17" s="49"/>
      <c r="DY17" s="71"/>
      <c r="DZ17" s="56"/>
      <c r="EA17" s="34"/>
      <c r="EB17" s="78"/>
      <c r="EC17" s="34"/>
      <c r="ED17" s="34"/>
      <c r="EE17" s="132"/>
      <c r="EF17" s="78"/>
      <c r="EG17" s="34"/>
      <c r="EH17" s="34"/>
      <c r="EI17" s="34"/>
      <c r="EJ17" s="34"/>
      <c r="EK17" s="140"/>
      <c r="EL17" s="34"/>
      <c r="EM17" s="34"/>
      <c r="EN17" s="34"/>
      <c r="EO17" s="34"/>
      <c r="EP17" s="34"/>
      <c r="EQ17" s="78"/>
      <c r="ER17" s="78"/>
      <c r="ES17" s="36"/>
      <c r="EU17" s="186"/>
    </row>
    <row r="18" spans="1:151" ht="9" customHeight="1" thickTop="1" thickBot="1" x14ac:dyDescent="0.3">
      <c r="B18" s="33"/>
      <c r="C18" s="41"/>
      <c r="D18" s="35"/>
      <c r="E18" s="34"/>
      <c r="F18" s="53"/>
      <c r="G18" s="53"/>
      <c r="H18" s="53"/>
      <c r="I18" s="123"/>
      <c r="J18" s="53"/>
      <c r="K18" s="53"/>
      <c r="L18" s="53"/>
      <c r="M18" s="53"/>
      <c r="N18" s="53"/>
      <c r="O18" s="127"/>
      <c r="P18" s="53"/>
      <c r="Q18" s="53"/>
      <c r="R18" s="53"/>
      <c r="S18" s="53"/>
      <c r="T18" s="41"/>
      <c r="U18" s="48"/>
      <c r="V18" s="56"/>
      <c r="W18" s="49"/>
      <c r="X18" s="49"/>
      <c r="Y18" s="48"/>
      <c r="Z18" s="49"/>
      <c r="AA18" s="49"/>
      <c r="AB18" s="130"/>
      <c r="AC18" s="48"/>
      <c r="AD18" s="49"/>
      <c r="AE18" s="49"/>
      <c r="AF18" s="49"/>
      <c r="AG18" s="130"/>
      <c r="AH18" s="48"/>
      <c r="AI18" s="49"/>
      <c r="AJ18" s="49"/>
      <c r="AK18" s="49"/>
      <c r="AL18" s="49"/>
      <c r="AM18" s="49"/>
      <c r="AN18" s="72"/>
      <c r="AO18" s="41"/>
      <c r="AP18" s="73"/>
      <c r="AQ18" s="73"/>
      <c r="AR18" s="73"/>
      <c r="AS18" s="73"/>
      <c r="AT18" s="135"/>
      <c r="AU18" s="73"/>
      <c r="AV18" s="73"/>
      <c r="AW18" s="73"/>
      <c r="AX18" s="73"/>
      <c r="AY18" s="135"/>
      <c r="AZ18" s="73"/>
      <c r="BA18" s="73"/>
      <c r="BB18" s="73"/>
      <c r="BC18" s="73"/>
      <c r="BD18" s="41"/>
      <c r="BE18" s="48"/>
      <c r="BF18" s="56"/>
      <c r="BG18" s="49"/>
      <c r="BH18" s="49"/>
      <c r="BI18" s="48"/>
      <c r="BJ18" s="49"/>
      <c r="BK18" s="122"/>
      <c r="BL18" s="79"/>
      <c r="BM18" s="49"/>
      <c r="BN18" s="49"/>
      <c r="BO18" s="49"/>
      <c r="BP18" s="49"/>
      <c r="BQ18" s="126"/>
      <c r="BR18" s="49"/>
      <c r="BS18" s="49"/>
      <c r="BT18" s="49"/>
      <c r="BU18" s="49"/>
      <c r="BV18" s="49"/>
      <c r="BW18" s="49"/>
      <c r="BX18" s="72"/>
      <c r="BY18" s="41"/>
      <c r="BZ18" s="73"/>
      <c r="CA18" s="73"/>
      <c r="CB18" s="73"/>
      <c r="CC18" s="141"/>
      <c r="CD18" s="73"/>
      <c r="CE18" s="73"/>
      <c r="CF18" s="73"/>
      <c r="CG18" s="73"/>
      <c r="CH18" s="141"/>
      <c r="CI18" s="73"/>
      <c r="CJ18" s="73"/>
      <c r="CK18" s="73"/>
      <c r="CL18" s="73"/>
      <c r="CM18" s="73"/>
      <c r="CN18" s="41"/>
      <c r="CO18" s="48"/>
      <c r="CP18" s="56"/>
      <c r="CQ18" s="49"/>
      <c r="CR18" s="79"/>
      <c r="CS18" s="49"/>
      <c r="CT18" s="49"/>
      <c r="CU18" s="122"/>
      <c r="CV18" s="79"/>
      <c r="CW18" s="49"/>
      <c r="CX18" s="49"/>
      <c r="CY18" s="49"/>
      <c r="CZ18" s="49"/>
      <c r="DA18" s="126"/>
      <c r="DB18" s="49"/>
      <c r="DC18" s="49"/>
      <c r="DD18" s="49"/>
      <c r="DE18" s="49"/>
      <c r="DF18" s="49"/>
      <c r="DG18" s="49"/>
      <c r="DH18" s="72"/>
      <c r="DI18" s="41"/>
      <c r="DJ18" s="73"/>
      <c r="DK18" s="73"/>
      <c r="DL18" s="73"/>
      <c r="DM18" s="141"/>
      <c r="DN18" s="73"/>
      <c r="DO18" s="73"/>
      <c r="DP18" s="73"/>
      <c r="DQ18" s="73"/>
      <c r="DR18" s="73"/>
      <c r="DS18" s="135"/>
      <c r="DT18" s="73"/>
      <c r="DU18" s="73"/>
      <c r="DV18" s="73"/>
      <c r="DW18" s="73"/>
      <c r="DX18" s="41"/>
      <c r="DY18" s="48"/>
      <c r="DZ18" s="56"/>
      <c r="EA18" s="49"/>
      <c r="EB18" s="79"/>
      <c r="EC18" s="49"/>
      <c r="ED18" s="49"/>
      <c r="EE18" s="122"/>
      <c r="EF18" s="79"/>
      <c r="EG18" s="49"/>
      <c r="EH18" s="49"/>
      <c r="EI18" s="49"/>
      <c r="EJ18" s="49"/>
      <c r="EK18" s="126"/>
      <c r="EL18" s="49"/>
      <c r="EM18" s="49"/>
      <c r="EN18" s="49"/>
      <c r="EO18" s="49"/>
      <c r="EP18" s="49"/>
      <c r="EQ18" s="79"/>
      <c r="ER18" s="34"/>
      <c r="ES18" s="36"/>
      <c r="EU18" s="186"/>
    </row>
    <row r="19" spans="1:151" s="13" customFormat="1" ht="9" customHeight="1" thickTop="1" x14ac:dyDescent="0.25">
      <c r="B19" s="37"/>
      <c r="C19" s="38"/>
      <c r="D19" s="39"/>
      <c r="E19" s="40"/>
      <c r="I19" s="124"/>
      <c r="O19" s="128"/>
      <c r="T19" s="37"/>
      <c r="U19" s="38"/>
      <c r="V19" s="39"/>
      <c r="W19" s="38"/>
      <c r="X19" s="69"/>
      <c r="Y19" s="69"/>
      <c r="Z19" s="69"/>
      <c r="AA19" s="69"/>
      <c r="AB19" s="131"/>
      <c r="AC19" s="69"/>
      <c r="AD19" s="69"/>
      <c r="AE19" s="69"/>
      <c r="AF19" s="69"/>
      <c r="AG19" s="131"/>
      <c r="AH19" s="69"/>
      <c r="AI19" s="69"/>
      <c r="AJ19" s="69"/>
      <c r="AK19" s="69"/>
      <c r="AL19" s="46"/>
      <c r="AM19" s="46"/>
      <c r="AN19" s="39"/>
      <c r="AO19" s="40"/>
      <c r="AT19" s="128"/>
      <c r="AY19" s="128"/>
      <c r="BD19" s="37"/>
      <c r="BE19" s="38"/>
      <c r="BF19" s="39"/>
      <c r="BG19" s="38"/>
      <c r="BH19" s="69"/>
      <c r="BI19" s="69"/>
      <c r="BJ19" s="69"/>
      <c r="BK19" s="137"/>
      <c r="BL19" s="69"/>
      <c r="BM19" s="69"/>
      <c r="BN19" s="69"/>
      <c r="BO19" s="69"/>
      <c r="BP19" s="69"/>
      <c r="BQ19" s="131"/>
      <c r="BR19" s="69"/>
      <c r="BS19" s="69"/>
      <c r="BT19" s="69"/>
      <c r="BU19" s="69"/>
      <c r="BV19" s="46"/>
      <c r="BW19" s="46"/>
      <c r="BX19" s="39"/>
      <c r="BY19" s="40"/>
      <c r="CC19" s="124"/>
      <c r="CH19" s="124"/>
      <c r="CN19" s="37"/>
      <c r="CO19" s="38"/>
      <c r="CP19" s="39"/>
      <c r="CQ19" s="38"/>
      <c r="CR19" s="69"/>
      <c r="CS19" s="69"/>
      <c r="CT19" s="69"/>
      <c r="CU19" s="137"/>
      <c r="CV19" s="69"/>
      <c r="CW19" s="69"/>
      <c r="CX19" s="69"/>
      <c r="CY19" s="69"/>
      <c r="CZ19" s="69"/>
      <c r="DA19" s="131"/>
      <c r="DB19" s="69"/>
      <c r="DC19" s="69"/>
      <c r="DD19" s="69"/>
      <c r="DE19" s="69"/>
      <c r="DF19" s="46"/>
      <c r="DG19" s="46"/>
      <c r="DH19" s="39"/>
      <c r="DI19" s="40"/>
      <c r="DM19" s="124"/>
      <c r="DS19" s="128"/>
      <c r="DX19" s="37"/>
      <c r="DY19" s="46"/>
      <c r="DZ19" s="39"/>
      <c r="EA19" s="46"/>
      <c r="EB19" s="69"/>
      <c r="EC19" s="69"/>
      <c r="ED19" s="69"/>
      <c r="EE19" s="137"/>
      <c r="EF19" s="69"/>
      <c r="EG19" s="69"/>
      <c r="EH19" s="69"/>
      <c r="EI19" s="69"/>
      <c r="EJ19" s="69"/>
      <c r="EK19" s="131"/>
      <c r="EL19" s="69"/>
      <c r="EM19" s="69"/>
      <c r="EN19" s="69"/>
      <c r="EO19" s="69"/>
      <c r="EP19" s="46"/>
      <c r="EQ19" s="61"/>
      <c r="ER19" s="46"/>
      <c r="ES19" s="40"/>
      <c r="EU19" s="24"/>
    </row>
    <row r="20" spans="1:151" s="13" customFormat="1" x14ac:dyDescent="0.25">
      <c r="B20" s="37"/>
      <c r="C20" s="38"/>
      <c r="D20" s="39"/>
      <c r="E20" s="40"/>
      <c r="G20" s="214">
        <v>1.2</v>
      </c>
      <c r="H20" s="214"/>
      <c r="I20" s="124"/>
      <c r="K20" s="205">
        <v>0.25</v>
      </c>
      <c r="L20" s="190" t="s">
        <v>37</v>
      </c>
      <c r="M20" s="205">
        <v>0.6</v>
      </c>
      <c r="O20" s="128"/>
      <c r="P20" s="214">
        <v>1.2</v>
      </c>
      <c r="Q20" s="214"/>
      <c r="T20" s="37"/>
      <c r="U20" s="38"/>
      <c r="V20" s="39"/>
      <c r="W20" s="40"/>
      <c r="AB20" s="128"/>
      <c r="AC20" s="205">
        <v>0.25</v>
      </c>
      <c r="AD20" s="190" t="s">
        <v>37</v>
      </c>
      <c r="AE20" s="205">
        <v>0.95</v>
      </c>
      <c r="AG20" s="128"/>
      <c r="AL20" s="37"/>
      <c r="AM20" s="38"/>
      <c r="AN20" s="39"/>
      <c r="AO20" s="40"/>
      <c r="AQ20" s="214">
        <v>1.2</v>
      </c>
      <c r="AR20" s="214"/>
      <c r="AT20" s="128"/>
      <c r="AU20" s="205">
        <v>0.25</v>
      </c>
      <c r="AV20" s="190" t="s">
        <v>37</v>
      </c>
      <c r="AW20" s="206">
        <v>0.6</v>
      </c>
      <c r="AY20" s="128"/>
      <c r="AZ20" s="214">
        <v>1.2</v>
      </c>
      <c r="BA20" s="214"/>
      <c r="BD20" s="37"/>
      <c r="BE20" s="38"/>
      <c r="BF20" s="39"/>
      <c r="BG20" s="40"/>
      <c r="BK20" s="124"/>
      <c r="BM20" s="207">
        <v>0.25</v>
      </c>
      <c r="BN20" s="208" t="s">
        <v>37</v>
      </c>
      <c r="BO20" s="206">
        <v>0.6</v>
      </c>
      <c r="BQ20" s="128"/>
      <c r="BV20" s="37"/>
      <c r="BW20" s="38"/>
      <c r="BX20" s="39"/>
      <c r="BY20" s="40"/>
      <c r="CA20" s="214">
        <v>1.2</v>
      </c>
      <c r="CB20" s="214"/>
      <c r="CC20" s="124"/>
      <c r="CE20" s="209">
        <v>0.25</v>
      </c>
      <c r="CF20" s="210" t="s">
        <v>37</v>
      </c>
      <c r="CG20" s="206">
        <v>0.6</v>
      </c>
      <c r="CH20" s="124"/>
      <c r="CJ20" s="214">
        <v>1.2</v>
      </c>
      <c r="CK20" s="214"/>
      <c r="CN20" s="37"/>
      <c r="CO20" s="46"/>
      <c r="CP20" s="39"/>
      <c r="CQ20" s="40"/>
      <c r="CU20" s="124"/>
      <c r="CW20" s="205">
        <v>0.25</v>
      </c>
      <c r="CX20" s="190" t="s">
        <v>37</v>
      </c>
      <c r="CY20" s="205">
        <v>0.6</v>
      </c>
      <c r="DA20" s="128"/>
      <c r="DF20" s="37"/>
      <c r="DG20" s="46"/>
      <c r="DH20" s="39"/>
      <c r="DI20" s="40"/>
      <c r="DK20" s="214">
        <v>1.2</v>
      </c>
      <c r="DL20" s="214"/>
      <c r="DM20" s="124"/>
      <c r="DO20" s="205">
        <v>0.25</v>
      </c>
      <c r="DP20" s="190" t="s">
        <v>37</v>
      </c>
      <c r="DQ20" s="205">
        <v>0.6</v>
      </c>
      <c r="DS20" s="128"/>
      <c r="DT20" s="214">
        <v>1.2</v>
      </c>
      <c r="DU20" s="214"/>
      <c r="DX20" s="37"/>
      <c r="DY20" s="46"/>
      <c r="DZ20" s="39"/>
      <c r="EA20" s="40"/>
      <c r="EE20" s="124"/>
      <c r="EG20" s="211">
        <v>0.25</v>
      </c>
      <c r="EH20" s="212" t="s">
        <v>37</v>
      </c>
      <c r="EI20" s="213">
        <v>0.6</v>
      </c>
      <c r="EK20" s="128"/>
      <c r="EP20" s="37"/>
      <c r="EQ20" s="61"/>
      <c r="ER20" s="46"/>
      <c r="ES20" s="40"/>
      <c r="EU20" s="24"/>
    </row>
    <row r="21" spans="1:151" s="13" customFormat="1" x14ac:dyDescent="0.25">
      <c r="A21" s="21"/>
      <c r="B21" s="37"/>
      <c r="C21" s="46"/>
      <c r="D21" s="39"/>
      <c r="E21" s="40"/>
      <c r="F21" s="17"/>
      <c r="G21" s="17"/>
      <c r="H21" s="17"/>
      <c r="I21" s="18"/>
      <c r="T21" s="37"/>
      <c r="U21" s="38"/>
      <c r="V21" s="39"/>
      <c r="W21" s="40"/>
      <c r="Y21" s="214">
        <v>1.2</v>
      </c>
      <c r="Z21" s="214"/>
      <c r="AB21" s="128"/>
      <c r="AG21" s="128"/>
      <c r="AH21" s="214">
        <v>1.2</v>
      </c>
      <c r="AI21" s="214"/>
      <c r="AL21" s="37"/>
      <c r="AM21" s="38"/>
      <c r="AN21" s="39"/>
      <c r="AO21" s="40"/>
      <c r="AP21" s="17"/>
      <c r="AQ21" s="17"/>
      <c r="AR21" s="17"/>
      <c r="AS21" s="18"/>
      <c r="BD21" s="37"/>
      <c r="BE21" s="38"/>
      <c r="BF21" s="39"/>
      <c r="BG21" s="40"/>
      <c r="BI21" s="214">
        <v>1.2</v>
      </c>
      <c r="BJ21" s="214"/>
      <c r="BK21" s="124"/>
      <c r="BM21" s="19"/>
      <c r="BN21" s="19"/>
      <c r="BO21" s="19"/>
      <c r="BQ21" s="128"/>
      <c r="BR21" s="214">
        <v>1.2</v>
      </c>
      <c r="BS21" s="214"/>
      <c r="BV21" s="37"/>
      <c r="BW21" s="38"/>
      <c r="BX21" s="39"/>
      <c r="BY21" s="40"/>
      <c r="BZ21" s="17"/>
      <c r="CA21" s="17"/>
      <c r="CB21" s="17"/>
      <c r="CC21" s="18"/>
      <c r="CN21" s="37"/>
      <c r="CO21" s="46"/>
      <c r="CP21" s="39"/>
      <c r="CQ21" s="40"/>
      <c r="CS21" s="214">
        <v>1.2</v>
      </c>
      <c r="CT21" s="214"/>
      <c r="CU21" s="124"/>
      <c r="CW21" s="19"/>
      <c r="CX21" s="19"/>
      <c r="CY21" s="19"/>
      <c r="DA21" s="128"/>
      <c r="DB21" s="214">
        <v>1.2</v>
      </c>
      <c r="DC21" s="214"/>
      <c r="DF21" s="37"/>
      <c r="DG21" s="46"/>
      <c r="DH21" s="39"/>
      <c r="DI21" s="40"/>
      <c r="DJ21" s="17"/>
      <c r="DK21" s="17"/>
      <c r="DL21" s="17"/>
      <c r="DM21" s="18"/>
      <c r="DX21" s="37"/>
      <c r="DY21" s="46"/>
      <c r="DZ21" s="39"/>
      <c r="EA21" s="40"/>
      <c r="EC21" s="214">
        <v>1.2</v>
      </c>
      <c r="ED21" s="214"/>
      <c r="EE21" s="124"/>
      <c r="EG21" s="19"/>
      <c r="EH21" s="19"/>
      <c r="EI21" s="19"/>
      <c r="EK21" s="128"/>
      <c r="EL21" s="214">
        <v>1.2</v>
      </c>
      <c r="EM21" s="214"/>
      <c r="EP21" s="37"/>
      <c r="EQ21" s="61"/>
      <c r="ER21" s="46"/>
      <c r="ES21" s="40"/>
      <c r="EU21" s="24"/>
    </row>
    <row r="22" spans="1:151" s="13" customFormat="1" x14ac:dyDescent="0.25">
      <c r="A22" s="21"/>
      <c r="B22" s="37"/>
      <c r="C22" s="46"/>
      <c r="D22" s="39"/>
      <c r="E22" s="40"/>
      <c r="F22" s="21"/>
      <c r="R22" s="146"/>
      <c r="S22" s="21"/>
      <c r="T22" s="37"/>
      <c r="U22" s="46"/>
      <c r="V22" s="39"/>
      <c r="W22" s="40"/>
      <c r="X22" s="17"/>
      <c r="Y22" s="17"/>
      <c r="Z22" s="17"/>
      <c r="AA22" s="18"/>
      <c r="AJ22" s="146"/>
      <c r="AK22" s="21"/>
      <c r="AL22" s="37"/>
      <c r="AM22" s="46"/>
      <c r="AN22" s="39"/>
      <c r="AO22" s="40"/>
      <c r="AP22" s="17"/>
      <c r="AQ22" s="17"/>
      <c r="AR22" s="17"/>
      <c r="AS22" s="18"/>
      <c r="BB22" s="146"/>
      <c r="BC22" s="21"/>
      <c r="BD22" s="37"/>
      <c r="BE22" s="46"/>
      <c r="BF22" s="39"/>
      <c r="BG22" s="40"/>
      <c r="BH22" s="17"/>
      <c r="BI22" s="17"/>
      <c r="BJ22" s="17"/>
      <c r="BK22" s="20"/>
      <c r="BL22" s="21"/>
      <c r="BM22" s="21"/>
      <c r="BN22" s="21"/>
      <c r="BO22" s="21"/>
      <c r="BP22" s="21"/>
      <c r="BQ22" s="21"/>
      <c r="BR22" s="21"/>
      <c r="BS22" s="21"/>
      <c r="BT22" s="146"/>
      <c r="BU22" s="21"/>
      <c r="BV22" s="37"/>
      <c r="BW22" s="46"/>
      <c r="BX22" s="39"/>
      <c r="BY22" s="40"/>
      <c r="BZ22" s="17"/>
      <c r="CA22" s="17"/>
      <c r="CB22" s="17"/>
      <c r="CC22" s="20"/>
      <c r="CD22" s="21"/>
      <c r="CE22" s="21"/>
      <c r="CF22" s="21"/>
      <c r="CG22" s="21"/>
      <c r="CH22" s="21"/>
      <c r="CI22" s="21"/>
      <c r="CJ22" s="21"/>
      <c r="CK22" s="21"/>
      <c r="CL22" s="146"/>
      <c r="CM22" s="21"/>
      <c r="CN22" s="37"/>
      <c r="CO22" s="46"/>
      <c r="CP22" s="39"/>
      <c r="CQ22" s="40"/>
      <c r="CR22" s="17"/>
      <c r="CS22" s="17"/>
      <c r="CT22" s="17"/>
      <c r="CU22" s="20"/>
      <c r="CV22" s="21"/>
      <c r="CW22" s="21"/>
      <c r="CX22" s="21"/>
      <c r="CY22" s="21"/>
      <c r="CZ22" s="21"/>
      <c r="DA22" s="21"/>
      <c r="DB22" s="21"/>
      <c r="DC22" s="21"/>
      <c r="DD22" s="146"/>
      <c r="DE22" s="21"/>
      <c r="DF22" s="37"/>
      <c r="DG22" s="46"/>
      <c r="DH22" s="39"/>
      <c r="DI22" s="40"/>
      <c r="DJ22" s="17"/>
      <c r="DK22" s="17"/>
      <c r="DL22" s="17"/>
      <c r="DM22" s="20"/>
      <c r="DN22" s="21"/>
      <c r="DO22" s="21"/>
      <c r="DP22" s="21"/>
      <c r="DQ22" s="21"/>
      <c r="DR22" s="21"/>
      <c r="DS22" s="21"/>
      <c r="DT22" s="21"/>
      <c r="DU22" s="21"/>
      <c r="DV22" s="146"/>
      <c r="DW22" s="21"/>
      <c r="DX22" s="37"/>
      <c r="DY22" s="46"/>
      <c r="DZ22" s="39"/>
      <c r="EA22" s="40"/>
      <c r="EB22" s="17"/>
      <c r="EC22" s="17"/>
      <c r="ED22" s="17"/>
      <c r="EE22" s="20"/>
      <c r="EF22" s="21"/>
      <c r="EG22" s="21"/>
      <c r="EH22" s="21"/>
      <c r="EI22" s="21"/>
      <c r="EJ22" s="21"/>
      <c r="EK22" s="21"/>
      <c r="EL22" s="21"/>
      <c r="EM22" s="21"/>
      <c r="EN22" s="21"/>
      <c r="EO22" s="21"/>
      <c r="EP22" s="37"/>
      <c r="EQ22" s="61"/>
      <c r="ER22" s="46"/>
      <c r="ES22" s="40"/>
      <c r="ET22" s="21"/>
      <c r="EU22" s="30"/>
    </row>
    <row r="23" spans="1:151" s="13" customFormat="1" ht="13" thickBot="1" x14ac:dyDescent="0.3">
      <c r="D23" s="14"/>
      <c r="E23" s="21"/>
      <c r="F23" s="96" t="s">
        <v>1</v>
      </c>
      <c r="G23" s="224">
        <v>0.25</v>
      </c>
      <c r="H23" s="224"/>
      <c r="I23" s="92"/>
      <c r="R23" s="147"/>
      <c r="V23" s="14"/>
      <c r="X23" s="96" t="s">
        <v>1</v>
      </c>
      <c r="Y23" s="219">
        <v>0.5</v>
      </c>
      <c r="Z23" s="219"/>
      <c r="AA23" s="92"/>
      <c r="AE23" s="81"/>
      <c r="AJ23" s="147"/>
      <c r="AK23" s="21"/>
      <c r="AL23" s="21"/>
      <c r="AM23" s="21"/>
      <c r="AN23" s="14"/>
      <c r="AO23" s="21"/>
      <c r="AP23" s="96" t="s">
        <v>1</v>
      </c>
      <c r="AQ23" s="219">
        <v>0.5</v>
      </c>
      <c r="AR23" s="219"/>
      <c r="AS23" s="20"/>
      <c r="BB23" s="147"/>
      <c r="BC23" s="21"/>
      <c r="BD23" s="21"/>
      <c r="BE23" s="21"/>
      <c r="BF23" s="14"/>
      <c r="BG23" s="21"/>
      <c r="BH23" s="96" t="s">
        <v>1</v>
      </c>
      <c r="BI23" s="219">
        <v>0.5</v>
      </c>
      <c r="BJ23" s="219"/>
      <c r="BK23" s="20"/>
      <c r="BT23" s="147"/>
      <c r="BX23" s="14"/>
      <c r="BZ23" s="96" t="s">
        <v>1</v>
      </c>
      <c r="CA23" s="219">
        <v>0.25</v>
      </c>
      <c r="CB23" s="219"/>
      <c r="CC23" s="20"/>
      <c r="CL23" s="147"/>
      <c r="CP23" s="14"/>
      <c r="CR23" s="96" t="s">
        <v>1</v>
      </c>
      <c r="CS23" s="219">
        <v>0.25</v>
      </c>
      <c r="CT23" s="219"/>
      <c r="CU23" s="20"/>
      <c r="DD23" s="147"/>
      <c r="DH23" s="14"/>
      <c r="DJ23" s="96" t="s">
        <v>1</v>
      </c>
      <c r="DK23" s="219">
        <v>0.25</v>
      </c>
      <c r="DL23" s="219"/>
      <c r="DM23" s="20"/>
      <c r="DV23" s="147"/>
      <c r="DZ23" s="14"/>
      <c r="EB23" s="96" t="s">
        <v>1</v>
      </c>
      <c r="EC23" s="219">
        <v>0.25</v>
      </c>
      <c r="ED23" s="219"/>
      <c r="EE23" s="20"/>
      <c r="EQ23" s="62"/>
      <c r="ER23" s="21"/>
      <c r="ET23" s="91" t="s">
        <v>1</v>
      </c>
      <c r="EU23" s="183">
        <v>0.25</v>
      </c>
    </row>
    <row r="24" spans="1:151" s="13" customFormat="1" ht="13" thickTop="1" x14ac:dyDescent="0.25">
      <c r="C24" s="62"/>
      <c r="D24" s="21"/>
      <c r="E24" s="21"/>
      <c r="J24" s="15"/>
      <c r="K24" s="214">
        <v>5</v>
      </c>
      <c r="L24" s="214"/>
      <c r="M24" s="16"/>
      <c r="R24" s="156">
        <f>AL33</f>
        <v>1</v>
      </c>
      <c r="V24" s="14"/>
      <c r="AB24" s="15"/>
      <c r="AC24" s="214">
        <v>5</v>
      </c>
      <c r="AD24" s="214"/>
      <c r="AE24" s="16"/>
      <c r="AJ24" s="156">
        <f>AL35</f>
        <v>2</v>
      </c>
      <c r="AN24" s="14"/>
      <c r="AT24" s="15"/>
      <c r="AU24" s="214">
        <v>4</v>
      </c>
      <c r="AV24" s="214"/>
      <c r="AW24" s="16"/>
      <c r="BB24" s="156">
        <f>AL37</f>
        <v>3</v>
      </c>
      <c r="BF24" s="14"/>
      <c r="BL24" s="89"/>
      <c r="BM24" s="214">
        <v>3</v>
      </c>
      <c r="BN24" s="214"/>
      <c r="BO24" s="16"/>
      <c r="BT24" s="156">
        <f>AL39</f>
        <v>4</v>
      </c>
      <c r="BX24" s="14"/>
      <c r="CD24" s="15"/>
      <c r="CE24" s="214">
        <v>3</v>
      </c>
      <c r="CF24" s="214"/>
      <c r="CG24" s="16"/>
      <c r="CL24" s="156">
        <f>AL41</f>
        <v>5</v>
      </c>
      <c r="CP24" s="14"/>
      <c r="CV24" s="15"/>
      <c r="CW24" s="214">
        <v>5</v>
      </c>
      <c r="CX24" s="214"/>
      <c r="CY24" s="16"/>
      <c r="DD24" s="156">
        <f>AL43</f>
        <v>6</v>
      </c>
      <c r="DH24" s="14"/>
      <c r="DN24" s="15"/>
      <c r="DO24" s="214">
        <v>5</v>
      </c>
      <c r="DP24" s="214"/>
      <c r="DQ24" s="16"/>
      <c r="DV24" s="156">
        <f>AL45</f>
        <v>7</v>
      </c>
      <c r="DZ24" s="14"/>
      <c r="EF24" s="15"/>
      <c r="EG24" s="214">
        <v>5</v>
      </c>
      <c r="EH24" s="214"/>
      <c r="EI24" s="16"/>
      <c r="EQ24" s="62"/>
      <c r="ER24" s="21"/>
    </row>
    <row r="25" spans="1:151" ht="7.5" customHeight="1" x14ac:dyDescent="0.25">
      <c r="C25" s="62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6"/>
      <c r="V25" s="7"/>
      <c r="W25" s="8"/>
      <c r="X25" s="5"/>
      <c r="Y25" s="5"/>
      <c r="Z25" s="5"/>
      <c r="AA25" s="5"/>
      <c r="AB25" s="5"/>
      <c r="AC25" s="5"/>
      <c r="AD25" s="5"/>
      <c r="AE25" s="80"/>
      <c r="AF25" s="5"/>
      <c r="AG25" s="5"/>
      <c r="AH25" s="5"/>
      <c r="AI25" s="5"/>
      <c r="AJ25" s="5"/>
      <c r="AK25" s="5"/>
      <c r="AL25" s="8"/>
      <c r="AM25" s="6"/>
      <c r="AN25" s="3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6"/>
      <c r="BF25" s="7"/>
      <c r="BG25" s="8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8"/>
      <c r="BW25" s="6"/>
      <c r="BX25" s="3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6"/>
      <c r="CP25" s="7"/>
      <c r="CQ25" s="8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8"/>
      <c r="DG25" s="6"/>
      <c r="DH25" s="3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6"/>
      <c r="DZ25" s="7"/>
      <c r="EA25" s="8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8"/>
      <c r="EQ25" s="6"/>
      <c r="ER25" s="9"/>
      <c r="ES25" s="23"/>
    </row>
    <row r="26" spans="1:151" ht="8.15" customHeight="1" x14ac:dyDescent="0.25">
      <c r="C26" s="62"/>
      <c r="D26" s="9"/>
      <c r="E26" s="9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V26" s="3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N26" s="11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F26" s="3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X26" s="11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P26" s="3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H26" s="11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Z26" s="3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Q26" s="4"/>
      <c r="ER26" s="9"/>
    </row>
    <row r="27" spans="1:151" s="13" customFormat="1" ht="13" x14ac:dyDescent="0.3">
      <c r="C27" s="220">
        <f>AQ31</f>
        <v>1</v>
      </c>
      <c r="D27" s="220"/>
      <c r="U27" s="227">
        <f>AQ32</f>
        <v>2</v>
      </c>
      <c r="V27" s="227"/>
      <c r="AM27" s="220">
        <f>AQ33</f>
        <v>3</v>
      </c>
      <c r="AN27" s="220"/>
      <c r="BE27" s="220">
        <f>AQ34</f>
        <v>4</v>
      </c>
      <c r="BF27" s="220"/>
      <c r="BW27" s="220">
        <f>AQ35</f>
        <v>5</v>
      </c>
      <c r="BX27" s="220"/>
      <c r="CO27" s="220">
        <f>AQ36</f>
        <v>6</v>
      </c>
      <c r="CP27" s="220"/>
      <c r="DG27" s="220">
        <f>AQ37</f>
        <v>7</v>
      </c>
      <c r="DH27" s="220"/>
      <c r="DY27" s="220">
        <f>AQ38</f>
        <v>8</v>
      </c>
      <c r="DZ27" s="220"/>
      <c r="EQ27" s="220">
        <f>AQ39</f>
        <v>9</v>
      </c>
      <c r="ER27" s="220"/>
    </row>
    <row r="28" spans="1:151" ht="10.5" customHeight="1" x14ac:dyDescent="0.25"/>
    <row r="29" spans="1:151" ht="18" customHeight="1" x14ac:dyDescent="0.25">
      <c r="B29" s="245" t="s">
        <v>44</v>
      </c>
      <c r="C29" s="246"/>
      <c r="D29" s="246"/>
      <c r="E29" s="246"/>
      <c r="F29" s="246"/>
      <c r="G29" s="246"/>
      <c r="H29" s="22"/>
      <c r="I29" s="180">
        <v>8</v>
      </c>
      <c r="J29" s="22"/>
      <c r="AB29" s="187" t="s">
        <v>62</v>
      </c>
      <c r="AC29" s="22"/>
      <c r="AD29" s="216" t="s">
        <v>63</v>
      </c>
      <c r="AE29" s="216"/>
      <c r="AF29" s="216"/>
      <c r="AG29" s="216" t="s">
        <v>64</v>
      </c>
      <c r="AH29" s="216"/>
      <c r="AI29" s="216"/>
      <c r="AJ29" s="244" t="s">
        <v>65</v>
      </c>
      <c r="AK29" s="244"/>
      <c r="AL29" s="229" t="s">
        <v>66</v>
      </c>
      <c r="AM29" s="230"/>
      <c r="AQ29" s="185" t="s">
        <v>58</v>
      </c>
      <c r="AU29" s="31" t="s">
        <v>67</v>
      </c>
    </row>
    <row r="30" spans="1:151" ht="18" customHeight="1" x14ac:dyDescent="0.25">
      <c r="I30" s="13"/>
      <c r="AJ30" s="253" t="s">
        <v>39</v>
      </c>
      <c r="AK30" s="254"/>
      <c r="AM30" s="31"/>
    </row>
    <row r="31" spans="1:151" ht="18" customHeight="1" x14ac:dyDescent="0.4">
      <c r="G31" s="202">
        <v>0.25</v>
      </c>
      <c r="H31" s="203" t="s">
        <v>37</v>
      </c>
      <c r="I31" s="204">
        <v>0.6</v>
      </c>
      <c r="J31" s="144" t="s">
        <v>38</v>
      </c>
      <c r="L31" s="12"/>
      <c r="M31" s="12"/>
      <c r="O31" s="22"/>
      <c r="P31" s="104"/>
      <c r="Q31" s="160">
        <v>8</v>
      </c>
      <c r="R31" s="251">
        <v>0.2</v>
      </c>
      <c r="S31" s="251"/>
      <c r="T31" s="226"/>
      <c r="U31" s="226"/>
      <c r="V31" s="101"/>
      <c r="W31" s="25"/>
      <c r="X31" s="182"/>
      <c r="AB31" s="9"/>
      <c r="AC31" s="22"/>
      <c r="AD31" s="27"/>
      <c r="AE31" s="22"/>
      <c r="AF31" s="27"/>
      <c r="AG31" s="150">
        <v>1</v>
      </c>
      <c r="AH31" s="149" t="s">
        <v>17</v>
      </c>
      <c r="AI31" s="150">
        <v>20</v>
      </c>
      <c r="AJ31" s="237"/>
      <c r="AK31" s="237"/>
      <c r="AL31" s="230"/>
      <c r="AM31" s="230"/>
      <c r="AQ31" s="238">
        <v>1</v>
      </c>
      <c r="AR31" s="238"/>
      <c r="AU31" s="235" t="s">
        <v>57</v>
      </c>
      <c r="AV31" s="235"/>
      <c r="AW31" s="235"/>
      <c r="AX31" s="235"/>
    </row>
    <row r="32" spans="1:151" ht="18" customHeight="1" x14ac:dyDescent="0.25">
      <c r="I32" s="13"/>
      <c r="J32" s="98"/>
      <c r="O32" s="9"/>
      <c r="P32" s="10"/>
      <c r="Q32" s="13"/>
      <c r="R32" s="13"/>
      <c r="S32" s="13"/>
      <c r="AB32" s="182">
        <v>1</v>
      </c>
      <c r="AC32" s="182"/>
      <c r="AD32" s="118">
        <v>2</v>
      </c>
      <c r="AE32" s="109" t="s">
        <v>17</v>
      </c>
      <c r="AF32" s="119">
        <v>16</v>
      </c>
      <c r="AG32" s="151"/>
      <c r="AH32" s="152"/>
      <c r="AI32" s="151"/>
      <c r="AJ32" s="237"/>
      <c r="AK32" s="237"/>
      <c r="AQ32" s="238">
        <v>2</v>
      </c>
      <c r="AR32" s="238"/>
    </row>
    <row r="33" spans="2:62" ht="18" customHeight="1" x14ac:dyDescent="0.25">
      <c r="H33" s="9"/>
      <c r="I33" s="99">
        <v>0</v>
      </c>
      <c r="J33" s="97" t="s">
        <v>16</v>
      </c>
      <c r="O33" s="22"/>
      <c r="P33" s="105"/>
      <c r="Q33" s="166">
        <v>8</v>
      </c>
      <c r="R33" s="247">
        <v>0.15</v>
      </c>
      <c r="S33" s="247"/>
      <c r="T33" s="241" t="s">
        <v>0</v>
      </c>
      <c r="U33" s="241"/>
      <c r="V33" s="252">
        <v>1.2</v>
      </c>
      <c r="W33" s="252"/>
      <c r="X33" s="22" t="s">
        <v>16</v>
      </c>
      <c r="AB33" s="181"/>
      <c r="AC33" s="182"/>
      <c r="AD33" s="27"/>
      <c r="AE33" s="22"/>
      <c r="AF33" s="28"/>
      <c r="AG33" s="150">
        <v>1</v>
      </c>
      <c r="AH33" s="145" t="s">
        <v>17</v>
      </c>
      <c r="AI33" s="150">
        <v>20</v>
      </c>
      <c r="AJ33" s="236" t="s">
        <v>37</v>
      </c>
      <c r="AK33" s="234"/>
      <c r="AL33" s="231">
        <v>1</v>
      </c>
      <c r="AM33" s="231"/>
      <c r="AQ33" s="238">
        <v>3</v>
      </c>
      <c r="AR33" s="238"/>
      <c r="AT33" s="178">
        <v>0.25</v>
      </c>
      <c r="AU33" s="167"/>
      <c r="AV33" s="168"/>
      <c r="AW33" s="168"/>
      <c r="AX33" s="167"/>
      <c r="AY33" s="179">
        <v>0.25</v>
      </c>
      <c r="BC33" s="188">
        <v>1</v>
      </c>
      <c r="BD33" s="189" t="s">
        <v>57</v>
      </c>
      <c r="BE33" s="189"/>
      <c r="BF33" s="189"/>
      <c r="BG33" s="189"/>
      <c r="BH33" s="189"/>
      <c r="BI33" s="189"/>
      <c r="BJ33" s="189">
        <f>IF(AU31=BD33,1,IF(AU31=BD34,2,IF(AU31=BD35,3,IF(AU31=BD36,4,IF(AU31=BD37,5,IF(AU31=BD38,6,IF(AU31=BD39,7,"")))))))</f>
        <v>1</v>
      </c>
    </row>
    <row r="34" spans="2:62" ht="18" customHeight="1" x14ac:dyDescent="0.25">
      <c r="I34" s="13"/>
      <c r="J34" s="98"/>
      <c r="O34" s="9"/>
      <c r="Q34" s="13"/>
      <c r="AB34" s="182">
        <v>2</v>
      </c>
      <c r="AC34" s="182"/>
      <c r="AD34" s="118">
        <v>2</v>
      </c>
      <c r="AE34" s="109" t="s">
        <v>17</v>
      </c>
      <c r="AF34" s="119">
        <v>16</v>
      </c>
      <c r="AG34" s="151"/>
      <c r="AH34" s="152"/>
      <c r="AI34" s="151"/>
      <c r="AJ34" s="232"/>
      <c r="AK34" s="232"/>
      <c r="AL34" s="157"/>
      <c r="AM34" s="157"/>
      <c r="AQ34" s="238">
        <v>4</v>
      </c>
      <c r="AR34" s="238"/>
      <c r="AT34" s="169"/>
      <c r="AU34" s="169"/>
      <c r="AV34" s="170"/>
      <c r="AW34" s="171"/>
      <c r="AX34" s="169"/>
      <c r="AY34" s="174"/>
      <c r="BC34" s="188">
        <v>2</v>
      </c>
      <c r="BD34" s="189" t="s">
        <v>54</v>
      </c>
      <c r="BE34" s="189"/>
      <c r="BF34" s="189"/>
      <c r="BG34" s="189"/>
      <c r="BH34" s="189"/>
      <c r="BI34" s="189"/>
      <c r="BJ34" s="189"/>
    </row>
    <row r="35" spans="2:62" ht="18" customHeight="1" x14ac:dyDescent="0.25">
      <c r="H35" s="9"/>
      <c r="I35" s="100">
        <v>0.25</v>
      </c>
      <c r="J35" s="97" t="s">
        <v>16</v>
      </c>
      <c r="O35" s="22"/>
      <c r="P35" s="102"/>
      <c r="Q35" s="103">
        <v>1.5</v>
      </c>
      <c r="R35" s="250" t="s">
        <v>16</v>
      </c>
      <c r="S35" s="250"/>
      <c r="T35" s="226"/>
      <c r="U35" s="226"/>
      <c r="V35" s="101"/>
      <c r="W35" s="25"/>
      <c r="X35" s="182"/>
      <c r="AB35" s="181"/>
      <c r="AC35" s="182"/>
      <c r="AD35" s="27"/>
      <c r="AE35" s="22"/>
      <c r="AF35" s="28"/>
      <c r="AG35" s="150">
        <v>1</v>
      </c>
      <c r="AH35" s="145" t="s">
        <v>17</v>
      </c>
      <c r="AI35" s="150">
        <v>20</v>
      </c>
      <c r="AJ35" s="236" t="s">
        <v>37</v>
      </c>
      <c r="AK35" s="234"/>
      <c r="AL35" s="231">
        <v>2</v>
      </c>
      <c r="AM35" s="231"/>
      <c r="AQ35" s="238">
        <v>5</v>
      </c>
      <c r="AR35" s="238"/>
      <c r="AT35" s="169"/>
      <c r="AU35" s="169"/>
      <c r="AV35" s="170"/>
      <c r="AW35" s="171"/>
      <c r="AX35" s="169"/>
      <c r="AY35" s="174"/>
      <c r="BC35" s="188">
        <v>3</v>
      </c>
      <c r="BD35" s="189" t="s">
        <v>42</v>
      </c>
      <c r="BE35" s="189" t="s">
        <v>55</v>
      </c>
      <c r="BF35" s="189"/>
      <c r="BG35" s="189"/>
      <c r="BH35" s="189"/>
      <c r="BI35" s="189"/>
      <c r="BJ35" s="189"/>
    </row>
    <row r="36" spans="2:62" ht="18" customHeight="1" x14ac:dyDescent="0.25">
      <c r="I36" s="13"/>
      <c r="J36" s="98"/>
      <c r="O36" s="9"/>
      <c r="Q36" s="13"/>
      <c r="V36" s="186"/>
      <c r="W36" s="186"/>
      <c r="X36" s="186"/>
      <c r="AB36" s="182">
        <v>3</v>
      </c>
      <c r="AC36" s="182"/>
      <c r="AD36" s="118">
        <v>2</v>
      </c>
      <c r="AE36" s="109" t="s">
        <v>17</v>
      </c>
      <c r="AF36" s="119">
        <v>16</v>
      </c>
      <c r="AG36" s="151"/>
      <c r="AH36" s="152"/>
      <c r="AI36" s="151"/>
      <c r="AJ36" s="232"/>
      <c r="AK36" s="232"/>
      <c r="AL36" s="157"/>
      <c r="AM36" s="157"/>
      <c r="AQ36" s="238">
        <v>6</v>
      </c>
      <c r="AR36" s="238"/>
      <c r="AT36" s="169"/>
      <c r="AU36" s="169"/>
      <c r="AV36" s="170"/>
      <c r="AW36" s="171"/>
      <c r="AX36" s="169"/>
      <c r="AY36" s="174"/>
      <c r="BC36" s="188">
        <v>4</v>
      </c>
      <c r="BD36" s="189" t="s">
        <v>56</v>
      </c>
      <c r="BE36" s="189"/>
      <c r="BF36" s="189"/>
      <c r="BG36" s="189"/>
      <c r="BH36" s="189"/>
      <c r="BI36" s="189"/>
      <c r="BJ36" s="189"/>
    </row>
    <row r="37" spans="2:62" ht="18" customHeight="1" x14ac:dyDescent="0.25">
      <c r="H37" s="9"/>
      <c r="I37" s="100">
        <v>0.25</v>
      </c>
      <c r="J37" s="97" t="s">
        <v>16</v>
      </c>
      <c r="O37" s="22"/>
      <c r="P37" s="102"/>
      <c r="Q37" s="103">
        <v>0</v>
      </c>
      <c r="R37" s="250" t="s">
        <v>16</v>
      </c>
      <c r="S37" s="250"/>
      <c r="T37" s="226"/>
      <c r="U37" s="226"/>
      <c r="V37" s="101"/>
      <c r="W37" s="25"/>
      <c r="X37" s="182"/>
      <c r="AB37" s="181"/>
      <c r="AC37" s="182"/>
      <c r="AD37" s="27"/>
      <c r="AE37" s="22"/>
      <c r="AF37" s="28"/>
      <c r="AG37" s="150">
        <v>1</v>
      </c>
      <c r="AH37" s="145" t="s">
        <v>17</v>
      </c>
      <c r="AI37" s="150">
        <v>20</v>
      </c>
      <c r="AJ37" s="236" t="s">
        <v>37</v>
      </c>
      <c r="AK37" s="234"/>
      <c r="AL37" s="231">
        <v>3</v>
      </c>
      <c r="AM37" s="231"/>
      <c r="AQ37" s="238">
        <v>7</v>
      </c>
      <c r="AR37" s="238"/>
      <c r="AT37" s="169"/>
      <c r="AU37" s="169"/>
      <c r="AV37" s="170"/>
      <c r="AW37" s="171"/>
      <c r="AX37" s="169"/>
      <c r="AY37" s="174"/>
      <c r="BC37" s="188">
        <v>5</v>
      </c>
      <c r="BD37" s="189" t="s">
        <v>68</v>
      </c>
      <c r="BE37" s="189"/>
      <c r="BF37" s="189"/>
      <c r="BG37" s="189"/>
      <c r="BH37" s="189"/>
      <c r="BI37" s="189"/>
      <c r="BJ37" s="189"/>
    </row>
    <row r="38" spans="2:62" ht="18" customHeight="1" x14ac:dyDescent="0.25">
      <c r="O38" s="9"/>
      <c r="AB38" s="182">
        <v>4</v>
      </c>
      <c r="AC38" s="182"/>
      <c r="AD38" s="118">
        <v>2</v>
      </c>
      <c r="AE38" s="109" t="s">
        <v>17</v>
      </c>
      <c r="AF38" s="119">
        <v>16</v>
      </c>
      <c r="AG38" s="151"/>
      <c r="AH38" s="152"/>
      <c r="AI38" s="151"/>
      <c r="AJ38" s="232"/>
      <c r="AK38" s="232"/>
      <c r="AL38" s="157"/>
      <c r="AM38" s="157"/>
      <c r="AQ38" s="238">
        <v>8</v>
      </c>
      <c r="AR38" s="238"/>
      <c r="AT38" s="178">
        <v>0.25</v>
      </c>
      <c r="AU38" s="172"/>
      <c r="AV38" s="173"/>
      <c r="AW38" s="173"/>
      <c r="AX38" s="172"/>
      <c r="AY38" s="179">
        <v>0.25</v>
      </c>
      <c r="BC38" s="188">
        <v>6</v>
      </c>
      <c r="BD38" s="189" t="s">
        <v>69</v>
      </c>
      <c r="BE38" s="189"/>
      <c r="BF38" s="189"/>
      <c r="BG38" s="189"/>
      <c r="BH38" s="189"/>
      <c r="BI38" s="189"/>
      <c r="BJ38" s="189"/>
    </row>
    <row r="39" spans="2:62" ht="18" customHeight="1" x14ac:dyDescent="0.25">
      <c r="B39" s="246" t="s">
        <v>53</v>
      </c>
      <c r="C39" s="246"/>
      <c r="D39" s="246"/>
      <c r="E39" s="246"/>
      <c r="F39" s="246"/>
      <c r="G39" s="246"/>
      <c r="H39" s="248"/>
      <c r="I39" s="248"/>
      <c r="J39" s="248"/>
      <c r="M39" s="249" t="s">
        <v>59</v>
      </c>
      <c r="N39" s="249"/>
      <c r="O39" s="249"/>
      <c r="P39" s="242" t="s">
        <v>60</v>
      </c>
      <c r="Q39" s="243"/>
      <c r="R39" s="243"/>
      <c r="S39" s="117"/>
      <c r="T39" s="242" t="s">
        <v>61</v>
      </c>
      <c r="U39" s="242"/>
      <c r="V39" s="242"/>
      <c r="W39" s="106"/>
      <c r="X39" s="23"/>
      <c r="AB39" s="181"/>
      <c r="AC39" s="182"/>
      <c r="AD39" s="27"/>
      <c r="AE39" s="22"/>
      <c r="AF39" s="28"/>
      <c r="AG39" s="150">
        <v>1</v>
      </c>
      <c r="AH39" s="145" t="s">
        <v>17</v>
      </c>
      <c r="AI39" s="150">
        <v>20</v>
      </c>
      <c r="AJ39" s="233" t="s">
        <v>37</v>
      </c>
      <c r="AK39" s="234"/>
      <c r="AL39" s="231">
        <v>4</v>
      </c>
      <c r="AM39" s="231"/>
      <c r="AQ39" s="238">
        <v>9</v>
      </c>
      <c r="AR39" s="238"/>
      <c r="BC39" s="188">
        <v>7</v>
      </c>
      <c r="BD39" s="189" t="s">
        <v>70</v>
      </c>
      <c r="BE39" s="189"/>
      <c r="BF39" s="189"/>
      <c r="BG39" s="189"/>
      <c r="BH39" s="189"/>
      <c r="BI39" s="189"/>
      <c r="BJ39" s="189"/>
    </row>
    <row r="40" spans="2:62" ht="18" customHeight="1" x14ac:dyDescent="0.25">
      <c r="B40" s="9"/>
      <c r="C40" s="22"/>
      <c r="D40" s="22"/>
      <c r="E40" s="22"/>
      <c r="F40" s="22" t="s">
        <v>19</v>
      </c>
      <c r="G40" s="22"/>
      <c r="I40" s="184">
        <v>3</v>
      </c>
      <c r="J40" s="97" t="s">
        <v>16</v>
      </c>
      <c r="M40" s="9"/>
      <c r="N40" s="9">
        <v>1</v>
      </c>
      <c r="O40" s="9"/>
      <c r="P40" s="113">
        <v>2</v>
      </c>
      <c r="Q40" s="112" t="s">
        <v>17</v>
      </c>
      <c r="R40" s="111">
        <v>12</v>
      </c>
      <c r="S40" s="181" t="s">
        <v>27</v>
      </c>
      <c r="T40" s="107">
        <v>1</v>
      </c>
      <c r="U40" s="108" t="s">
        <v>17</v>
      </c>
      <c r="V40" s="107">
        <v>20</v>
      </c>
      <c r="W40" s="9"/>
      <c r="X40" s="9"/>
      <c r="AB40" s="182">
        <v>5</v>
      </c>
      <c r="AC40" s="182"/>
      <c r="AD40" s="118">
        <v>2</v>
      </c>
      <c r="AE40" s="109" t="s">
        <v>17</v>
      </c>
      <c r="AF40" s="119">
        <v>16</v>
      </c>
      <c r="AG40" s="151"/>
      <c r="AH40" s="152"/>
      <c r="AI40" s="151"/>
      <c r="AJ40" s="232"/>
      <c r="AK40" s="232"/>
      <c r="AL40" s="157"/>
      <c r="AM40" s="157"/>
      <c r="BD40" s="31"/>
    </row>
    <row r="41" spans="2:62" ht="18" customHeight="1" x14ac:dyDescent="0.25">
      <c r="B41" s="9"/>
      <c r="C41" s="22"/>
      <c r="D41" s="22"/>
      <c r="E41" s="22"/>
      <c r="F41" s="22" t="s">
        <v>20</v>
      </c>
      <c r="G41" s="22"/>
      <c r="I41" s="184">
        <v>3</v>
      </c>
      <c r="J41" s="97" t="s">
        <v>16</v>
      </c>
      <c r="M41" s="9"/>
      <c r="N41" s="22">
        <v>2</v>
      </c>
      <c r="O41" s="22"/>
      <c r="P41" s="114">
        <v>2</v>
      </c>
      <c r="Q41" s="115" t="s">
        <v>17</v>
      </c>
      <c r="R41" s="116">
        <v>12</v>
      </c>
      <c r="S41" s="32" t="s">
        <v>27</v>
      </c>
      <c r="T41" s="107">
        <v>1</v>
      </c>
      <c r="U41" s="110" t="s">
        <v>17</v>
      </c>
      <c r="V41" s="107">
        <v>20</v>
      </c>
      <c r="W41" s="9"/>
      <c r="X41" s="9"/>
      <c r="AB41" s="181"/>
      <c r="AC41" s="182"/>
      <c r="AD41" s="27"/>
      <c r="AE41" s="22"/>
      <c r="AF41" s="28"/>
      <c r="AG41" s="150">
        <v>1</v>
      </c>
      <c r="AH41" s="145" t="s">
        <v>17</v>
      </c>
      <c r="AI41" s="150">
        <v>20</v>
      </c>
      <c r="AJ41" s="233" t="s">
        <v>37</v>
      </c>
      <c r="AK41" s="234"/>
      <c r="AL41" s="231">
        <v>5</v>
      </c>
      <c r="AM41" s="231"/>
    </row>
    <row r="42" spans="2:62" ht="18" customHeight="1" x14ac:dyDescent="0.25">
      <c r="B42" s="9"/>
      <c r="C42" s="22"/>
      <c r="D42" s="22"/>
      <c r="E42" s="22"/>
      <c r="F42" s="22" t="s">
        <v>21</v>
      </c>
      <c r="G42" s="22"/>
      <c r="I42" s="184">
        <v>3</v>
      </c>
      <c r="J42" s="97" t="s">
        <v>16</v>
      </c>
      <c r="M42" s="9"/>
      <c r="N42" s="22">
        <v>3</v>
      </c>
      <c r="O42" s="22"/>
      <c r="P42" s="114">
        <v>2</v>
      </c>
      <c r="Q42" s="115" t="s">
        <v>17</v>
      </c>
      <c r="R42" s="116">
        <v>12</v>
      </c>
      <c r="S42" s="32" t="s">
        <v>27</v>
      </c>
      <c r="T42" s="107">
        <v>1</v>
      </c>
      <c r="U42" s="110" t="s">
        <v>17</v>
      </c>
      <c r="V42" s="107">
        <v>20</v>
      </c>
      <c r="W42" s="9"/>
      <c r="X42" s="9"/>
      <c r="AB42" s="182">
        <v>6</v>
      </c>
      <c r="AC42" s="182"/>
      <c r="AD42" s="118">
        <v>2</v>
      </c>
      <c r="AE42" s="109" t="s">
        <v>17</v>
      </c>
      <c r="AF42" s="119">
        <v>16</v>
      </c>
      <c r="AG42" s="151"/>
      <c r="AH42" s="152"/>
      <c r="AI42" s="151"/>
      <c r="AJ42" s="232"/>
      <c r="AK42" s="232"/>
      <c r="AL42" s="157"/>
      <c r="AM42" s="157"/>
    </row>
    <row r="43" spans="2:62" ht="18" customHeight="1" x14ac:dyDescent="0.25">
      <c r="B43" s="9"/>
      <c r="C43" s="22"/>
      <c r="D43" s="22"/>
      <c r="E43" s="22"/>
      <c r="F43" s="22" t="s">
        <v>22</v>
      </c>
      <c r="G43" s="22"/>
      <c r="I43" s="184">
        <v>3</v>
      </c>
      <c r="J43" s="97" t="s">
        <v>16</v>
      </c>
      <c r="M43" s="9"/>
      <c r="N43" s="22">
        <v>4</v>
      </c>
      <c r="O43" s="22"/>
      <c r="P43" s="114">
        <v>2</v>
      </c>
      <c r="Q43" s="115" t="s">
        <v>17</v>
      </c>
      <c r="R43" s="116">
        <v>12</v>
      </c>
      <c r="S43" s="32" t="s">
        <v>27</v>
      </c>
      <c r="T43" s="107">
        <v>1</v>
      </c>
      <c r="U43" s="110" t="s">
        <v>17</v>
      </c>
      <c r="V43" s="107">
        <v>20</v>
      </c>
      <c r="W43" s="9"/>
      <c r="X43" s="9"/>
      <c r="AB43" s="181"/>
      <c r="AC43" s="182"/>
      <c r="AD43" s="27"/>
      <c r="AE43" s="22"/>
      <c r="AF43" s="28"/>
      <c r="AG43" s="150">
        <v>1</v>
      </c>
      <c r="AH43" s="145" t="s">
        <v>17</v>
      </c>
      <c r="AI43" s="150">
        <v>20</v>
      </c>
      <c r="AJ43" s="233" t="s">
        <v>37</v>
      </c>
      <c r="AK43" s="234"/>
      <c r="AL43" s="231">
        <v>6</v>
      </c>
      <c r="AM43" s="231"/>
    </row>
    <row r="44" spans="2:62" ht="18" customHeight="1" x14ac:dyDescent="0.25">
      <c r="B44" s="9"/>
      <c r="C44" s="22"/>
      <c r="D44" s="22"/>
      <c r="E44" s="22"/>
      <c r="F44" s="22" t="s">
        <v>23</v>
      </c>
      <c r="G44" s="22"/>
      <c r="I44" s="184">
        <v>3</v>
      </c>
      <c r="J44" s="97" t="s">
        <v>16</v>
      </c>
      <c r="M44" s="9"/>
      <c r="N44" s="22">
        <v>5</v>
      </c>
      <c r="O44" s="22"/>
      <c r="P44" s="114">
        <v>2</v>
      </c>
      <c r="Q44" s="115" t="s">
        <v>17</v>
      </c>
      <c r="R44" s="116">
        <v>12</v>
      </c>
      <c r="S44" s="32" t="s">
        <v>27</v>
      </c>
      <c r="T44" s="107">
        <v>1</v>
      </c>
      <c r="U44" s="110" t="s">
        <v>17</v>
      </c>
      <c r="V44" s="107">
        <v>20</v>
      </c>
      <c r="W44" s="9"/>
      <c r="X44" s="9"/>
      <c r="AB44" s="182">
        <v>7</v>
      </c>
      <c r="AC44" s="182"/>
      <c r="AD44" s="118">
        <v>2</v>
      </c>
      <c r="AE44" s="109" t="s">
        <v>17</v>
      </c>
      <c r="AF44" s="119">
        <v>16</v>
      </c>
      <c r="AG44" s="151"/>
      <c r="AH44" s="152"/>
      <c r="AI44" s="151"/>
      <c r="AJ44" s="232"/>
      <c r="AK44" s="232"/>
      <c r="AL44" s="157"/>
      <c r="AM44" s="157"/>
    </row>
    <row r="45" spans="2:62" ht="18" customHeight="1" x14ac:dyDescent="0.25">
      <c r="B45" s="9"/>
      <c r="C45" s="22"/>
      <c r="D45" s="22"/>
      <c r="E45" s="22"/>
      <c r="F45" s="22" t="s">
        <v>24</v>
      </c>
      <c r="G45" s="22"/>
      <c r="I45" s="184">
        <v>5</v>
      </c>
      <c r="J45" s="97" t="s">
        <v>16</v>
      </c>
      <c r="M45" s="9"/>
      <c r="N45" s="22">
        <v>6</v>
      </c>
      <c r="O45" s="22"/>
      <c r="P45" s="114">
        <v>2</v>
      </c>
      <c r="Q45" s="115" t="s">
        <v>17</v>
      </c>
      <c r="R45" s="116">
        <v>12</v>
      </c>
      <c r="S45" s="32" t="s">
        <v>27</v>
      </c>
      <c r="T45" s="107">
        <v>1</v>
      </c>
      <c r="U45" s="110" t="s">
        <v>17</v>
      </c>
      <c r="V45" s="107">
        <v>20</v>
      </c>
      <c r="W45" s="9"/>
      <c r="X45" s="9"/>
      <c r="AB45" s="181"/>
      <c r="AC45" s="182"/>
      <c r="AD45" s="27"/>
      <c r="AE45" s="22"/>
      <c r="AF45" s="28"/>
      <c r="AG45" s="150">
        <v>1</v>
      </c>
      <c r="AH45" s="145" t="s">
        <v>17</v>
      </c>
      <c r="AI45" s="150">
        <v>20</v>
      </c>
      <c r="AJ45" s="233" t="s">
        <v>37</v>
      </c>
      <c r="AK45" s="234"/>
      <c r="AL45" s="231">
        <v>7</v>
      </c>
      <c r="AM45" s="231"/>
    </row>
    <row r="46" spans="2:62" ht="18" customHeight="1" x14ac:dyDescent="0.25">
      <c r="B46" s="9"/>
      <c r="C46" s="22"/>
      <c r="D46" s="22"/>
      <c r="E46" s="22"/>
      <c r="F46" s="22" t="s">
        <v>25</v>
      </c>
      <c r="G46" s="22"/>
      <c r="I46" s="184">
        <v>5</v>
      </c>
      <c r="J46" s="97" t="s">
        <v>16</v>
      </c>
      <c r="M46" s="9"/>
      <c r="N46" s="22">
        <v>7</v>
      </c>
      <c r="O46" s="22"/>
      <c r="P46" s="114">
        <v>2</v>
      </c>
      <c r="Q46" s="115" t="s">
        <v>17</v>
      </c>
      <c r="R46" s="116">
        <v>12</v>
      </c>
      <c r="S46" s="32" t="s">
        <v>27</v>
      </c>
      <c r="T46" s="107">
        <v>1</v>
      </c>
      <c r="U46" s="110" t="s">
        <v>17</v>
      </c>
      <c r="V46" s="107">
        <v>20</v>
      </c>
      <c r="W46" s="9"/>
      <c r="X46" s="9"/>
      <c r="AB46" s="182">
        <v>8</v>
      </c>
      <c r="AC46" s="182"/>
      <c r="AD46" s="118">
        <v>2</v>
      </c>
      <c r="AE46" s="109" t="s">
        <v>17</v>
      </c>
      <c r="AF46" s="119">
        <v>16</v>
      </c>
      <c r="AG46" s="151"/>
      <c r="AH46" s="152"/>
      <c r="AI46" s="151"/>
      <c r="AJ46" s="237"/>
      <c r="AK46" s="237"/>
    </row>
    <row r="47" spans="2:62" ht="18" customHeight="1" x14ac:dyDescent="0.25">
      <c r="B47" s="9"/>
      <c r="C47" s="22"/>
      <c r="D47" s="22"/>
      <c r="E47" s="22"/>
      <c r="F47" s="22" t="s">
        <v>26</v>
      </c>
      <c r="G47" s="22"/>
      <c r="I47" s="184">
        <v>5</v>
      </c>
      <c r="J47" s="97" t="s">
        <v>16</v>
      </c>
      <c r="M47" s="9"/>
      <c r="N47" s="22">
        <v>8</v>
      </c>
      <c r="O47" s="22"/>
      <c r="P47" s="114">
        <v>2</v>
      </c>
      <c r="Q47" s="115" t="s">
        <v>28</v>
      </c>
      <c r="R47" s="116">
        <v>12</v>
      </c>
      <c r="S47" s="32" t="s">
        <v>27</v>
      </c>
      <c r="T47" s="107">
        <v>1</v>
      </c>
      <c r="U47" s="110" t="s">
        <v>17</v>
      </c>
      <c r="V47" s="107">
        <v>20</v>
      </c>
      <c r="W47" s="9"/>
      <c r="X47" s="9"/>
      <c r="AB47" s="9"/>
      <c r="AC47" s="22"/>
      <c r="AD47" s="27"/>
      <c r="AE47" s="22"/>
      <c r="AF47" s="28"/>
      <c r="AG47" s="150">
        <v>1</v>
      </c>
      <c r="AH47" s="153" t="s">
        <v>17</v>
      </c>
      <c r="AI47" s="150">
        <v>20</v>
      </c>
      <c r="AJ47" s="237"/>
      <c r="AK47" s="237"/>
    </row>
    <row r="48" spans="2:62" ht="18" customHeight="1" x14ac:dyDescent="0.25"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29"/>
    </row>
    <row r="49" spans="6:36" ht="18" customHeight="1" x14ac:dyDescent="0.25"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29"/>
    </row>
    <row r="50" spans="6:36" ht="18" customHeight="1" x14ac:dyDescent="0.25">
      <c r="AF50" s="13"/>
      <c r="AG50" s="13"/>
      <c r="AH50" s="13"/>
      <c r="AI50" s="13"/>
      <c r="AJ50" s="29"/>
    </row>
    <row r="51" spans="6:36" ht="18" customHeight="1" x14ac:dyDescent="0.25">
      <c r="AF51" s="13"/>
      <c r="AG51" s="13"/>
      <c r="AH51" s="13"/>
      <c r="AI51" s="13"/>
      <c r="AJ51" s="29"/>
    </row>
    <row r="52" spans="6:36" ht="18" customHeight="1" x14ac:dyDescent="0.25">
      <c r="AF52" s="13"/>
      <c r="AG52" s="13"/>
      <c r="AH52" s="13"/>
      <c r="AI52" s="13"/>
      <c r="AJ52" s="29"/>
    </row>
    <row r="54" spans="6:36" x14ac:dyDescent="0.25">
      <c r="F54" s="31"/>
    </row>
  </sheetData>
  <sheetProtection algorithmName="SHA-512" hashValue="kn3lON9CRVpwOMX1nz4kVSQV2+VzP+ChpptyFXyRRPPStXHN4YFK6bsC9YA3zWAZyADJvxdebb7NyhWyx6/yuA==" saltValue="4gvkQCv4jkPjGqkraa9rDQ==" spinCount="100000" sheet="1" objects="1" scenarios="1"/>
  <mergeCells count="153">
    <mergeCell ref="I5:I6"/>
    <mergeCell ref="F5:H6"/>
    <mergeCell ref="AJ43:AK43"/>
    <mergeCell ref="AJ44:AK44"/>
    <mergeCell ref="AJ31:AK31"/>
    <mergeCell ref="AJ32:AK32"/>
    <mergeCell ref="AJ33:AK33"/>
    <mergeCell ref="AJ42:AK42"/>
    <mergeCell ref="T33:U33"/>
    <mergeCell ref="P39:R39"/>
    <mergeCell ref="AJ29:AK29"/>
    <mergeCell ref="T39:V39"/>
    <mergeCell ref="B29:G29"/>
    <mergeCell ref="B39:G39"/>
    <mergeCell ref="R33:S33"/>
    <mergeCell ref="H39:J39"/>
    <mergeCell ref="M39:O39"/>
    <mergeCell ref="R35:S35"/>
    <mergeCell ref="R37:S37"/>
    <mergeCell ref="R31:S31"/>
    <mergeCell ref="G9:H9"/>
    <mergeCell ref="Y9:Z9"/>
    <mergeCell ref="V33:W33"/>
    <mergeCell ref="AJ30:AK30"/>
    <mergeCell ref="AJ47:AK47"/>
    <mergeCell ref="AQ31:AR31"/>
    <mergeCell ref="AQ32:AR32"/>
    <mergeCell ref="AQ33:AR33"/>
    <mergeCell ref="AQ34:AR34"/>
    <mergeCell ref="AQ36:AR36"/>
    <mergeCell ref="AQ35:AR35"/>
    <mergeCell ref="AQ37:AR37"/>
    <mergeCell ref="AQ38:AR38"/>
    <mergeCell ref="AQ39:AR39"/>
    <mergeCell ref="AJ45:AK45"/>
    <mergeCell ref="AJ34:AK34"/>
    <mergeCell ref="AJ46:AK46"/>
    <mergeCell ref="AJ37:AK37"/>
    <mergeCell ref="AL43:AM43"/>
    <mergeCell ref="AL45:AM45"/>
    <mergeCell ref="EQ27:ER27"/>
    <mergeCell ref="AL29:AM29"/>
    <mergeCell ref="AL31:AM31"/>
    <mergeCell ref="AL35:AM35"/>
    <mergeCell ref="AL37:AM37"/>
    <mergeCell ref="AL33:AM33"/>
    <mergeCell ref="AJ40:AK40"/>
    <mergeCell ref="AJ41:AK41"/>
    <mergeCell ref="AJ38:AK38"/>
    <mergeCell ref="AJ39:AK39"/>
    <mergeCell ref="AL39:AM39"/>
    <mergeCell ref="AU31:AX31"/>
    <mergeCell ref="AL41:AM41"/>
    <mergeCell ref="AJ35:AK35"/>
    <mergeCell ref="AJ36:AK36"/>
    <mergeCell ref="C27:D27"/>
    <mergeCell ref="U27:V27"/>
    <mergeCell ref="AM27:AN27"/>
    <mergeCell ref="BE27:BF27"/>
    <mergeCell ref="BW27:BX27"/>
    <mergeCell ref="CO27:CP27"/>
    <mergeCell ref="CX11:CY11"/>
    <mergeCell ref="DC16:DD16"/>
    <mergeCell ref="DP11:DQ11"/>
    <mergeCell ref="AZ20:BA20"/>
    <mergeCell ref="CE24:CF24"/>
    <mergeCell ref="DO24:DP24"/>
    <mergeCell ref="CJ20:CK20"/>
    <mergeCell ref="DG27:DH27"/>
    <mergeCell ref="G20:H20"/>
    <mergeCell ref="P20:Q20"/>
    <mergeCell ref="AQ11:AR11"/>
    <mergeCell ref="AZ11:BA11"/>
    <mergeCell ref="K24:L24"/>
    <mergeCell ref="G11:H11"/>
    <mergeCell ref="P11:Q11"/>
    <mergeCell ref="H15:I15"/>
    <mergeCell ref="L15:M15"/>
    <mergeCell ref="Q15:R15"/>
    <mergeCell ref="T37:U37"/>
    <mergeCell ref="T35:U35"/>
    <mergeCell ref="Y23:Z23"/>
    <mergeCell ref="CA20:CB20"/>
    <mergeCell ref="T31:U31"/>
    <mergeCell ref="CK15:CL15"/>
    <mergeCell ref="BN16:BO16"/>
    <mergeCell ref="AI16:AJ16"/>
    <mergeCell ref="CA23:CB23"/>
    <mergeCell ref="Y21:Z21"/>
    <mergeCell ref="AH21:AI21"/>
    <mergeCell ref="BM24:BN24"/>
    <mergeCell ref="CF15:CG15"/>
    <mergeCell ref="AR15:AS15"/>
    <mergeCell ref="AV15:AW15"/>
    <mergeCell ref="BR21:BS21"/>
    <mergeCell ref="BA15:BB15"/>
    <mergeCell ref="Z16:AA16"/>
    <mergeCell ref="G23:H23"/>
    <mergeCell ref="CS9:CT9"/>
    <mergeCell ref="BI11:BJ11"/>
    <mergeCell ref="AD11:AE11"/>
    <mergeCell ref="AV11:AW11"/>
    <mergeCell ref="AH11:AI11"/>
    <mergeCell ref="BR11:BS11"/>
    <mergeCell ref="BN11:BO11"/>
    <mergeCell ref="CF11:CG11"/>
    <mergeCell ref="CA11:CB11"/>
    <mergeCell ref="AQ9:AR9"/>
    <mergeCell ref="BI9:BJ9"/>
    <mergeCell ref="CA9:CB9"/>
    <mergeCell ref="CJ11:CK11"/>
    <mergeCell ref="CS11:CT11"/>
    <mergeCell ref="DK9:DL9"/>
    <mergeCell ref="EC9:ED9"/>
    <mergeCell ref="DK23:DL23"/>
    <mergeCell ref="EC23:ED23"/>
    <mergeCell ref="EC21:ED21"/>
    <mergeCell ref="DT11:DU11"/>
    <mergeCell ref="EC11:ED11"/>
    <mergeCell ref="ED16:EE16"/>
    <mergeCell ref="DP15:DQ15"/>
    <mergeCell ref="DU15:DV15"/>
    <mergeCell ref="DK11:DL11"/>
    <mergeCell ref="EL21:EM21"/>
    <mergeCell ref="BS16:BT16"/>
    <mergeCell ref="AQ20:AR20"/>
    <mergeCell ref="Y11:Z11"/>
    <mergeCell ref="BI23:BJ23"/>
    <mergeCell ref="EL11:EM11"/>
    <mergeCell ref="DK20:DL20"/>
    <mergeCell ref="DT20:DU20"/>
    <mergeCell ref="EH11:EI11"/>
    <mergeCell ref="EM16:EN16"/>
    <mergeCell ref="DB21:DC21"/>
    <mergeCell ref="CS23:CT23"/>
    <mergeCell ref="DL15:DM15"/>
    <mergeCell ref="CB15:CC15"/>
    <mergeCell ref="DB11:DC11"/>
    <mergeCell ref="CX16:CY16"/>
    <mergeCell ref="EG24:EH24"/>
    <mergeCell ref="CW24:CX24"/>
    <mergeCell ref="CT16:CU16"/>
    <mergeCell ref="CS21:CT21"/>
    <mergeCell ref="AG29:AI29"/>
    <mergeCell ref="AD16:AE16"/>
    <mergeCell ref="BJ16:BK16"/>
    <mergeCell ref="BI21:BJ21"/>
    <mergeCell ref="AQ23:AR23"/>
    <mergeCell ref="AD29:AF29"/>
    <mergeCell ref="AC24:AD24"/>
    <mergeCell ref="AU24:AV24"/>
    <mergeCell ref="EH16:EI16"/>
    <mergeCell ref="DY27:DZ27"/>
  </mergeCells>
  <phoneticPr fontId="2" type="noConversion"/>
  <conditionalFormatting sqref="F47:V47">
    <cfRule type="expression" dxfId="236" priority="274" stopIfTrue="1">
      <formula>$I$29&lt;$N47</formula>
    </cfRule>
  </conditionalFormatting>
  <conditionalFormatting sqref="F46:V46">
    <cfRule type="expression" dxfId="235" priority="273" stopIfTrue="1">
      <formula>$I$29&lt;$N46</formula>
    </cfRule>
  </conditionalFormatting>
  <conditionalFormatting sqref="F45:V45">
    <cfRule type="expression" dxfId="234" priority="272" stopIfTrue="1">
      <formula>$I$29&lt;$N45</formula>
    </cfRule>
  </conditionalFormatting>
  <conditionalFormatting sqref="F44:V44">
    <cfRule type="expression" dxfId="233" priority="271" stopIfTrue="1">
      <formula>$I$29&lt;$N44</formula>
    </cfRule>
  </conditionalFormatting>
  <conditionalFormatting sqref="F43:V43">
    <cfRule type="expression" dxfId="232" priority="270" stopIfTrue="1">
      <formula>$I$29&lt;$N43</formula>
    </cfRule>
  </conditionalFormatting>
  <conditionalFormatting sqref="F42:V42">
    <cfRule type="expression" dxfId="231" priority="269" stopIfTrue="1">
      <formula>$I$29&lt;$N42</formula>
    </cfRule>
  </conditionalFormatting>
  <conditionalFormatting sqref="F41:V41">
    <cfRule type="expression" dxfId="230" priority="268" stopIfTrue="1">
      <formula>$I$29&lt;$N41</formula>
    </cfRule>
  </conditionalFormatting>
  <conditionalFormatting sqref="E47">
    <cfRule type="expression" dxfId="229" priority="267" stopIfTrue="1">
      <formula>$I$29&lt;$N47</formula>
    </cfRule>
  </conditionalFormatting>
  <conditionalFormatting sqref="E46">
    <cfRule type="expression" dxfId="228" priority="266" stopIfTrue="1">
      <formula>$I$29&lt;$N46</formula>
    </cfRule>
  </conditionalFormatting>
  <conditionalFormatting sqref="E41:E45">
    <cfRule type="expression" dxfId="227" priority="265" stopIfTrue="1">
      <formula>$I$29&lt;$N41</formula>
    </cfRule>
  </conditionalFormatting>
  <conditionalFormatting sqref="D47">
    <cfRule type="expression" dxfId="226" priority="264" stopIfTrue="1">
      <formula>$I$29&lt;$N47</formula>
    </cfRule>
  </conditionalFormatting>
  <conditionalFormatting sqref="D41:D46">
    <cfRule type="expression" dxfId="225" priority="263" stopIfTrue="1">
      <formula>$I$29&lt;$N41</formula>
    </cfRule>
  </conditionalFormatting>
  <conditionalFormatting sqref="AB46:AI47">
    <cfRule type="expression" dxfId="224" priority="262" stopIfTrue="1">
      <formula>$I$29&lt;$AB$46</formula>
    </cfRule>
  </conditionalFormatting>
  <conditionalFormatting sqref="AB44:AI45">
    <cfRule type="expression" dxfId="223" priority="261" stopIfTrue="1">
      <formula>$I$29&lt;$AB$44</formula>
    </cfRule>
  </conditionalFormatting>
  <conditionalFormatting sqref="AB42:AI43">
    <cfRule type="expression" dxfId="222" priority="260" stopIfTrue="1">
      <formula>$I$29&lt;$AB$42</formula>
    </cfRule>
  </conditionalFormatting>
  <conditionalFormatting sqref="AB40:AI41">
    <cfRule type="expression" dxfId="221" priority="259" stopIfTrue="1">
      <formula>$I$29&lt;$AB$40</formula>
    </cfRule>
  </conditionalFormatting>
  <conditionalFormatting sqref="AB38:AI39">
    <cfRule type="expression" dxfId="220" priority="258" stopIfTrue="1">
      <formula>$I$29&lt;$AB$38</formula>
    </cfRule>
  </conditionalFormatting>
  <conditionalFormatting sqref="AB36:AI37">
    <cfRule type="expression" dxfId="219" priority="257" stopIfTrue="1">
      <formula>$I$29&lt;$AB$36</formula>
    </cfRule>
  </conditionalFormatting>
  <conditionalFormatting sqref="AB34:AI35">
    <cfRule type="expression" dxfId="218" priority="256" stopIfTrue="1">
      <formula>$I$29&lt;$AB$34</formula>
    </cfRule>
  </conditionalFormatting>
  <conditionalFormatting sqref="B9:E12">
    <cfRule type="expression" dxfId="217" priority="255" stopIfTrue="1">
      <formula>$G$9=0</formula>
    </cfRule>
  </conditionalFormatting>
  <conditionalFormatting sqref="C13:E13">
    <cfRule type="expression" dxfId="216" priority="254" stopIfTrue="1">
      <formula>$G$9=0</formula>
    </cfRule>
  </conditionalFormatting>
  <conditionalFormatting sqref="B13">
    <cfRule type="expression" dxfId="215" priority="253" stopIfTrue="1">
      <formula>$G$9=0</formula>
    </cfRule>
  </conditionalFormatting>
  <conditionalFormatting sqref="T9:W12">
    <cfRule type="expression" dxfId="214" priority="252" stopIfTrue="1">
      <formula>$Y$9=0</formula>
    </cfRule>
  </conditionalFormatting>
  <conditionalFormatting sqref="T13:V13">
    <cfRule type="expression" dxfId="213" priority="251" stopIfTrue="1">
      <formula>$Y$9=0</formula>
    </cfRule>
  </conditionalFormatting>
  <conditionalFormatting sqref="W13">
    <cfRule type="expression" dxfId="212" priority="250" stopIfTrue="1">
      <formula>$Y$9=0</formula>
    </cfRule>
  </conditionalFormatting>
  <conditionalFormatting sqref="AL9:AO12">
    <cfRule type="expression" dxfId="211" priority="249" stopIfTrue="1">
      <formula>$AQ$9=0</formula>
    </cfRule>
  </conditionalFormatting>
  <conditionalFormatting sqref="AM13:AO13">
    <cfRule type="expression" dxfId="210" priority="248" stopIfTrue="1">
      <formula>$AQ$9=0</formula>
    </cfRule>
  </conditionalFormatting>
  <conditionalFormatting sqref="AL13">
    <cfRule type="expression" dxfId="209" priority="247" stopIfTrue="1">
      <formula>$AQ$9=0</formula>
    </cfRule>
  </conditionalFormatting>
  <conditionalFormatting sqref="BD9:BG12">
    <cfRule type="expression" dxfId="208" priority="246" stopIfTrue="1">
      <formula>$BI$9=0</formula>
    </cfRule>
  </conditionalFormatting>
  <conditionalFormatting sqref="BD13:BG13">
    <cfRule type="expression" dxfId="207" priority="245" stopIfTrue="1">
      <formula>$BI$9=0</formula>
    </cfRule>
  </conditionalFormatting>
  <conditionalFormatting sqref="BV9:BY12">
    <cfRule type="expression" dxfId="206" priority="244" stopIfTrue="1">
      <formula>$CA$9=0</formula>
    </cfRule>
  </conditionalFormatting>
  <conditionalFormatting sqref="CN9:CQ12">
    <cfRule type="expression" dxfId="205" priority="242" stopIfTrue="1">
      <formula>$CS$9=0</formula>
    </cfRule>
  </conditionalFormatting>
  <conditionalFormatting sqref="DF9:DI12">
    <cfRule type="expression" dxfId="204" priority="240" stopIfTrue="1">
      <formula>$DK$9=0</formula>
    </cfRule>
  </conditionalFormatting>
  <conditionalFormatting sqref="DX9:EA12">
    <cfRule type="expression" dxfId="203" priority="238" stopIfTrue="1">
      <formula>$EC$9=0</formula>
    </cfRule>
  </conditionalFormatting>
  <conditionalFormatting sqref="EP9:ES13">
    <cfRule type="expression" dxfId="202" priority="236" stopIfTrue="1">
      <formula>$EU$9=0</formula>
    </cfRule>
  </conditionalFormatting>
  <conditionalFormatting sqref="EP14:ES14">
    <cfRule type="expression" dxfId="201" priority="235" stopIfTrue="1">
      <formula>$EU$9=0</formula>
    </cfRule>
  </conditionalFormatting>
  <conditionalFormatting sqref="D19:E22">
    <cfRule type="expression" dxfId="200" priority="234" stopIfTrue="1">
      <formula>$G$23=0</formula>
    </cfRule>
  </conditionalFormatting>
  <conditionalFormatting sqref="V20:W22">
    <cfRule type="expression" dxfId="199" priority="233" stopIfTrue="1">
      <formula>$Y$23=0</formula>
    </cfRule>
  </conditionalFormatting>
  <conditionalFormatting sqref="AN20:AO22">
    <cfRule type="expression" dxfId="198" priority="232" stopIfTrue="1">
      <formula>$AQ$23=0</formula>
    </cfRule>
  </conditionalFormatting>
  <conditionalFormatting sqref="BF20:BG22">
    <cfRule type="expression" dxfId="197" priority="231" stopIfTrue="1">
      <formula>$BI$23=0</formula>
    </cfRule>
  </conditionalFormatting>
  <conditionalFormatting sqref="B19:C22">
    <cfRule type="expression" dxfId="196" priority="230" stopIfTrue="1">
      <formula>$G$23=0</formula>
    </cfRule>
  </conditionalFormatting>
  <conditionalFormatting sqref="T20:U22">
    <cfRule type="expression" dxfId="195" priority="229" stopIfTrue="1">
      <formula>$Y$23=0</formula>
    </cfRule>
  </conditionalFormatting>
  <conditionalFormatting sqref="AL20:AM22">
    <cfRule type="expression" dxfId="194" priority="228" stopIfTrue="1">
      <formula>$AQ$23=0</formula>
    </cfRule>
  </conditionalFormatting>
  <conditionalFormatting sqref="BD20:BE22">
    <cfRule type="expression" dxfId="193" priority="227" stopIfTrue="1">
      <formula>$BI$23=0</formula>
    </cfRule>
  </conditionalFormatting>
  <conditionalFormatting sqref="B18:E18">
    <cfRule type="expression" dxfId="192" priority="226" stopIfTrue="1">
      <formula>$G$23=0</formula>
    </cfRule>
  </conditionalFormatting>
  <conditionalFormatting sqref="T19:W19">
    <cfRule type="expression" dxfId="191" priority="225" stopIfTrue="1">
      <formula>$Y$23=0</formula>
    </cfRule>
  </conditionalFormatting>
  <conditionalFormatting sqref="AL19:AO19">
    <cfRule type="expression" dxfId="190" priority="224" stopIfTrue="1">
      <formula>$AQ$23=0</formula>
    </cfRule>
  </conditionalFormatting>
  <conditionalFormatting sqref="BD19:BG19">
    <cfRule type="expression" dxfId="189" priority="223" stopIfTrue="1">
      <formula>$BI$23=0</formula>
    </cfRule>
  </conditionalFormatting>
  <conditionalFormatting sqref="BX20:BY22">
    <cfRule type="expression" dxfId="188" priority="222" stopIfTrue="1">
      <formula>$CA$23=0</formula>
    </cfRule>
  </conditionalFormatting>
  <conditionalFormatting sqref="BV20:BW22">
    <cfRule type="expression" dxfId="187" priority="221" stopIfTrue="1">
      <formula>$CA$23=0</formula>
    </cfRule>
  </conditionalFormatting>
  <conditionalFormatting sqref="BV19:BY19">
    <cfRule type="expression" dxfId="186" priority="220" stopIfTrue="1">
      <formula>$CA$23=0</formula>
    </cfRule>
  </conditionalFormatting>
  <conditionalFormatting sqref="CP20:CQ22">
    <cfRule type="expression" dxfId="185" priority="219" stopIfTrue="1">
      <formula>$CS$23=0</formula>
    </cfRule>
  </conditionalFormatting>
  <conditionalFormatting sqref="CN20:CO22">
    <cfRule type="expression" dxfId="184" priority="218" stopIfTrue="1">
      <formula>$CS$23=0</formula>
    </cfRule>
  </conditionalFormatting>
  <conditionalFormatting sqref="DH20:DI22">
    <cfRule type="expression" dxfId="183" priority="216" stopIfTrue="1">
      <formula>$DK$23=0</formula>
    </cfRule>
  </conditionalFormatting>
  <conditionalFormatting sqref="DF20:DG22">
    <cfRule type="expression" dxfId="182" priority="215" stopIfTrue="1">
      <formula>$DK$23=0</formula>
    </cfRule>
  </conditionalFormatting>
  <conditionalFormatting sqref="DZ20:EA22">
    <cfRule type="expression" dxfId="181" priority="213" stopIfTrue="1">
      <formula>$EC$23=0</formula>
    </cfRule>
  </conditionalFormatting>
  <conditionalFormatting sqref="DX20:DY22">
    <cfRule type="expression" dxfId="180" priority="212" stopIfTrue="1">
      <formula>$EC$23=0</formula>
    </cfRule>
  </conditionalFormatting>
  <conditionalFormatting sqref="DX19:EA19">
    <cfRule type="expression" dxfId="179" priority="211" stopIfTrue="1">
      <formula>$EC$23=0</formula>
    </cfRule>
  </conditionalFormatting>
  <conditionalFormatting sqref="EP20:EQ22">
    <cfRule type="expression" dxfId="178" priority="210" stopIfTrue="1">
      <formula>$EU$23=0</formula>
    </cfRule>
  </conditionalFormatting>
  <conditionalFormatting sqref="ER20:ES22">
    <cfRule type="expression" dxfId="177" priority="209" stopIfTrue="1">
      <formula>$EU$23=0</formula>
    </cfRule>
  </conditionalFormatting>
  <conditionalFormatting sqref="EP19:ES19">
    <cfRule type="expression" dxfId="176" priority="208" stopIfTrue="1">
      <formula>$EU$23=0</formula>
    </cfRule>
  </conditionalFormatting>
  <conditionalFormatting sqref="G15:I15">
    <cfRule type="expression" dxfId="175" priority="207" stopIfTrue="1">
      <formula>$G$20=0</formula>
    </cfRule>
  </conditionalFormatting>
  <conditionalFormatting sqref="P15:R15">
    <cfRule type="expression" dxfId="174" priority="206" stopIfTrue="1">
      <formula>$P$20=0</formula>
    </cfRule>
  </conditionalFormatting>
  <conditionalFormatting sqref="F14:F17">
    <cfRule type="expression" dxfId="173" priority="205" stopIfTrue="1">
      <formula>$G$20=0</formula>
    </cfRule>
  </conditionalFormatting>
  <conditionalFormatting sqref="O14:O17">
    <cfRule type="expression" dxfId="172" priority="204" stopIfTrue="1">
      <formula>$P$20=0</formula>
    </cfRule>
  </conditionalFormatting>
  <conditionalFormatting sqref="Y16:AA16 X15:X18">
    <cfRule type="expression" dxfId="171" priority="203" stopIfTrue="1">
      <formula>$Y$21=0</formula>
    </cfRule>
  </conditionalFormatting>
  <conditionalFormatting sqref="AH16:AJ16">
    <cfRule type="expression" dxfId="170" priority="202" stopIfTrue="1">
      <formula>$AH$21=0</formula>
    </cfRule>
  </conditionalFormatting>
  <conditionalFormatting sqref="AG15:AG18">
    <cfRule type="expression" dxfId="169" priority="201" stopIfTrue="1">
      <formula>$AH$21=0</formula>
    </cfRule>
  </conditionalFormatting>
  <conditionalFormatting sqref="AQ15:AS15">
    <cfRule type="expression" dxfId="168" priority="200" stopIfTrue="1">
      <formula>$AQ$20=0</formula>
    </cfRule>
  </conditionalFormatting>
  <conditionalFormatting sqref="AZ15:BB15">
    <cfRule type="expression" dxfId="167" priority="199" stopIfTrue="1">
      <formula>$AZ$20=0</formula>
    </cfRule>
  </conditionalFormatting>
  <conditionalFormatting sqref="AY14:AY17">
    <cfRule type="expression" dxfId="166" priority="198" stopIfTrue="1">
      <formula>$AZ$20=0</formula>
    </cfRule>
  </conditionalFormatting>
  <conditionalFormatting sqref="BI16:BK16">
    <cfRule type="expression" dxfId="165" priority="197" stopIfTrue="1">
      <formula>$BI$21=0</formula>
    </cfRule>
  </conditionalFormatting>
  <conditionalFormatting sqref="BH15:BH18">
    <cfRule type="expression" dxfId="164" priority="196" stopIfTrue="1">
      <formula>$BI$21=0</formula>
    </cfRule>
  </conditionalFormatting>
  <conditionalFormatting sqref="BR16:BT16">
    <cfRule type="expression" dxfId="163" priority="195" stopIfTrue="1">
      <formula>$BR$21=0</formula>
    </cfRule>
  </conditionalFormatting>
  <conditionalFormatting sqref="BQ15:BQ18">
    <cfRule type="expression" dxfId="162" priority="194" stopIfTrue="1">
      <formula>$BR$21=0</formula>
    </cfRule>
  </conditionalFormatting>
  <conditionalFormatting sqref="CA15:CC15">
    <cfRule type="expression" dxfId="161" priority="193" stopIfTrue="1">
      <formula>$CA$20=0</formula>
    </cfRule>
  </conditionalFormatting>
  <conditionalFormatting sqref="CJ15:CL15">
    <cfRule type="expression" dxfId="160" priority="192" stopIfTrue="1">
      <formula>$CJ$20=0</formula>
    </cfRule>
  </conditionalFormatting>
  <conditionalFormatting sqref="CS16:CU16">
    <cfRule type="expression" dxfId="159" priority="191" stopIfTrue="1">
      <formula>$CS$21=0</formula>
    </cfRule>
  </conditionalFormatting>
  <conditionalFormatting sqref="CR15:CR18">
    <cfRule type="expression" dxfId="158" priority="189" stopIfTrue="1">
      <formula>$CS$21=0</formula>
    </cfRule>
    <cfRule type="expression" dxfId="157" priority="190" stopIfTrue="1">
      <formula>$CS$21=0</formula>
    </cfRule>
  </conditionalFormatting>
  <conditionalFormatting sqref="DB16:DD16">
    <cfRule type="expression" dxfId="156" priority="188" stopIfTrue="1">
      <formula>$DB$21=0</formula>
    </cfRule>
  </conditionalFormatting>
  <conditionalFormatting sqref="DA15:DA18">
    <cfRule type="expression" dxfId="155" priority="187" stopIfTrue="1">
      <formula>$DB$21=0</formula>
    </cfRule>
  </conditionalFormatting>
  <conditionalFormatting sqref="DK15:DM15">
    <cfRule type="expression" dxfId="154" priority="186" stopIfTrue="1">
      <formula>$DK$20=0</formula>
    </cfRule>
  </conditionalFormatting>
  <conditionalFormatting sqref="DT15:DV15">
    <cfRule type="expression" dxfId="153" priority="185" stopIfTrue="1">
      <formula>$DT$20=0</formula>
    </cfRule>
  </conditionalFormatting>
  <conditionalFormatting sqref="DS14:DS17">
    <cfRule type="expression" dxfId="152" priority="184" stopIfTrue="1">
      <formula>$DT$20=0</formula>
    </cfRule>
  </conditionalFormatting>
  <conditionalFormatting sqref="EC16:EE16">
    <cfRule type="expression" dxfId="151" priority="183" stopIfTrue="1">
      <formula>$EC$21=0</formula>
    </cfRule>
  </conditionalFormatting>
  <conditionalFormatting sqref="EB15:EB18">
    <cfRule type="expression" dxfId="150" priority="182" stopIfTrue="1">
      <formula>$EC$21=0</formula>
    </cfRule>
  </conditionalFormatting>
  <conditionalFormatting sqref="EL16:EN16">
    <cfRule type="expression" dxfId="149" priority="181" stopIfTrue="1">
      <formula>$EL$21=0</formula>
    </cfRule>
  </conditionalFormatting>
  <conditionalFormatting sqref="EK15:EK18">
    <cfRule type="expression" dxfId="148" priority="180" stopIfTrue="1">
      <formula>$EL$21=0</formula>
    </cfRule>
  </conditionalFormatting>
  <conditionalFormatting sqref="AP14:AP17">
    <cfRule type="expression" dxfId="147" priority="179" stopIfTrue="1">
      <formula>$AQ$20=0</formula>
    </cfRule>
  </conditionalFormatting>
  <conditionalFormatting sqref="BZ14:BZ17">
    <cfRule type="expression" dxfId="146" priority="178" stopIfTrue="1">
      <formula>$CA$20=0</formula>
    </cfRule>
  </conditionalFormatting>
  <conditionalFormatting sqref="CI14:CI17">
    <cfRule type="expression" dxfId="145" priority="177" stopIfTrue="1">
      <formula>$CJ$20=0</formula>
    </cfRule>
  </conditionalFormatting>
  <conditionalFormatting sqref="DJ14:DJ17">
    <cfRule type="expression" dxfId="144" priority="176" stopIfTrue="1">
      <formula>$DK$20=0</formula>
    </cfRule>
  </conditionalFormatting>
  <conditionalFormatting sqref="AL33:AM33">
    <cfRule type="expression" dxfId="143" priority="174" stopIfTrue="1">
      <formula>$AJ$33="x"</formula>
    </cfRule>
  </conditionalFormatting>
  <conditionalFormatting sqref="AL35:AM35">
    <cfRule type="expression" dxfId="142" priority="173" stopIfTrue="1">
      <formula>$AJ35="x"</formula>
    </cfRule>
  </conditionalFormatting>
  <conditionalFormatting sqref="AL37:AM37">
    <cfRule type="expression" dxfId="141" priority="172" stopIfTrue="1">
      <formula>$AJ37="x"</formula>
    </cfRule>
  </conditionalFormatting>
  <conditionalFormatting sqref="AL39:AM39">
    <cfRule type="expression" dxfId="140" priority="171" stopIfTrue="1">
      <formula>$AJ39="x"</formula>
    </cfRule>
  </conditionalFormatting>
  <conditionalFormatting sqref="AL41:AM41">
    <cfRule type="expression" dxfId="139" priority="156" stopIfTrue="1">
      <formula>$I$29&lt;6</formula>
    </cfRule>
    <cfRule type="expression" dxfId="138" priority="170" stopIfTrue="1">
      <formula>$AJ41="x"</formula>
    </cfRule>
  </conditionalFormatting>
  <conditionalFormatting sqref="AL43:AM43">
    <cfRule type="expression" dxfId="137" priority="169" stopIfTrue="1">
      <formula>$AJ43="x"</formula>
    </cfRule>
  </conditionalFormatting>
  <conditionalFormatting sqref="AL45:AM45">
    <cfRule type="expression" dxfId="136" priority="159" stopIfTrue="1">
      <formula>$I$29&lt;8</formula>
    </cfRule>
    <cfRule type="expression" dxfId="135" priority="168" stopIfTrue="1">
      <formula>$AJ45="x"</formula>
    </cfRule>
  </conditionalFormatting>
  <conditionalFormatting sqref="R22:R24 R7:R9">
    <cfRule type="expression" dxfId="134" priority="167" stopIfTrue="1">
      <formula>$AJ$33=""</formula>
    </cfRule>
  </conditionalFormatting>
  <conditionalFormatting sqref="AJ22:AJ24 AJ7:AJ9">
    <cfRule type="expression" dxfId="133" priority="166" stopIfTrue="1">
      <formula>$AJ$35=""</formula>
    </cfRule>
  </conditionalFormatting>
  <conditionalFormatting sqref="BB22:BB24 BB7:BB9">
    <cfRule type="expression" dxfId="132" priority="148" stopIfTrue="1">
      <formula>$I$29&lt;3</formula>
    </cfRule>
    <cfRule type="expression" dxfId="131" priority="165" stopIfTrue="1">
      <formula>$AJ$37=""</formula>
    </cfRule>
  </conditionalFormatting>
  <conditionalFormatting sqref="BT22:BT24 BT7:BT9">
    <cfRule type="expression" dxfId="130" priority="149" stopIfTrue="1">
      <formula>$I$29&lt;4</formula>
    </cfRule>
    <cfRule type="expression" dxfId="129" priority="164" stopIfTrue="1">
      <formula>$AJ$39=""</formula>
    </cfRule>
  </conditionalFormatting>
  <conditionalFormatting sqref="CL7:CL9 CL22:CL24">
    <cfRule type="expression" dxfId="128" priority="150" stopIfTrue="1">
      <formula>$I$29&lt;5</formula>
    </cfRule>
    <cfRule type="expression" dxfId="127" priority="163" stopIfTrue="1">
      <formula>$AJ$41=""</formula>
    </cfRule>
  </conditionalFormatting>
  <conditionalFormatting sqref="DD22:DD24 DD7:DD9">
    <cfRule type="expression" dxfId="126" priority="162" stopIfTrue="1">
      <formula>$AJ$43=""</formula>
    </cfRule>
  </conditionalFormatting>
  <conditionalFormatting sqref="DV7:DV9 DV22:DV24">
    <cfRule type="expression" dxfId="125" priority="152" stopIfTrue="1">
      <formula>$I$29&lt;7</formula>
    </cfRule>
    <cfRule type="expression" dxfId="124" priority="161" stopIfTrue="1">
      <formula>$AJ$45=""</formula>
    </cfRule>
  </conditionalFormatting>
  <conditionalFormatting sqref="AJ45:AK45">
    <cfRule type="expression" dxfId="123" priority="160" stopIfTrue="1">
      <formula>$I$29&lt;7</formula>
    </cfRule>
  </conditionalFormatting>
  <conditionalFormatting sqref="AJ43:AM43">
    <cfRule type="expression" dxfId="122" priority="158" stopIfTrue="1">
      <formula>$I$29&lt;6</formula>
    </cfRule>
  </conditionalFormatting>
  <conditionalFormatting sqref="AJ41:AK41">
    <cfRule type="expression" dxfId="121" priority="157" stopIfTrue="1">
      <formula>$I$29&lt;5</formula>
    </cfRule>
  </conditionalFormatting>
  <conditionalFormatting sqref="AJ39:AM39">
    <cfRule type="expression" dxfId="120" priority="155" stopIfTrue="1">
      <formula>$I$29&lt;4</formula>
    </cfRule>
  </conditionalFormatting>
  <conditionalFormatting sqref="AJ37:AM37">
    <cfRule type="expression" dxfId="119" priority="154" stopIfTrue="1">
      <formula>$I$29&lt;3</formula>
    </cfRule>
  </conditionalFormatting>
  <conditionalFormatting sqref="AJ35:AM35">
    <cfRule type="expression" dxfId="118" priority="153" stopIfTrue="1">
      <formula>$I$29&lt;2</formula>
    </cfRule>
  </conditionalFormatting>
  <conditionalFormatting sqref="DD7:DD9 DD22:DD24">
    <cfRule type="expression" dxfId="117" priority="151" stopIfTrue="1">
      <formula>$I$29&lt;6</formula>
    </cfRule>
  </conditionalFormatting>
  <conditionalFormatting sqref="AJ7:AJ9 AJ22:AJ24">
    <cfRule type="expression" dxfId="116" priority="147" stopIfTrue="1">
      <formula>$I$29&lt;2</formula>
    </cfRule>
  </conditionalFormatting>
  <conditionalFormatting sqref="EQ27:ER27 EG24:EH24 ET23:EU23 ET9:EU9 EL11:EM11 EH11:EI11 EL21:EM21 EG20:EI20 EC21:ED21 EC11:ED11">
    <cfRule type="expression" dxfId="115" priority="146" stopIfTrue="1">
      <formula>$I$29&lt;8</formula>
    </cfRule>
  </conditionalFormatting>
  <conditionalFormatting sqref="EG16:EI16">
    <cfRule type="expression" dxfId="114" priority="145" stopIfTrue="1">
      <formula>$I$29&lt;8</formula>
    </cfRule>
  </conditionalFormatting>
  <conditionalFormatting sqref="DO24:DP24 DY27:DZ27 DT20:DU20 DT11:DU11 DP11:DQ11 DO20:DQ20 DK20:DL20 DK11:DL11 EB9:ED9 EB23:ED23">
    <cfRule type="expression" dxfId="113" priority="144" stopIfTrue="1">
      <formula>$I$29&lt;7</formula>
    </cfRule>
  </conditionalFormatting>
  <conditionalFormatting sqref="DO15:DQ15">
    <cfRule type="expression" dxfId="112" priority="143" stopIfTrue="1">
      <formula>$I$29&lt;7</formula>
    </cfRule>
  </conditionalFormatting>
  <conditionalFormatting sqref="DG27:DH27 DJ23:DL23 DJ9:DL9 DB11:DC11 DB21:DC21 CW24:CX24 CW20:CY20 CS21:CT21 CS11:CT11 CX11:CY11">
    <cfRule type="expression" dxfId="111" priority="142" stopIfTrue="1">
      <formula>$I$29&lt;6</formula>
    </cfRule>
  </conditionalFormatting>
  <conditionalFormatting sqref="CW16:CY16">
    <cfRule type="expression" dxfId="110" priority="141" stopIfTrue="1">
      <formula>$I$29&lt;6</formula>
    </cfRule>
  </conditionalFormatting>
  <conditionalFormatting sqref="CO27:CP27 CE24:CF24 CJ20:CK20 CJ11:CK11 CF11:CG11 CA20:CB20 CA11:CB11 CE20:CG20">
    <cfRule type="expression" dxfId="109" priority="140" stopIfTrue="1">
      <formula>$I$29&lt;5</formula>
    </cfRule>
  </conditionalFormatting>
  <conditionalFormatting sqref="CE15:CG15">
    <cfRule type="expression" dxfId="108" priority="139" stopIfTrue="1">
      <formula>$I$29&lt;5</formula>
    </cfRule>
  </conditionalFormatting>
  <conditionalFormatting sqref="BW27:BX27 CA23:CB23 CA9:CB9 BR11:BS11 BR21:BS21 BM24:BN24 BN11:BO11 BI21:BJ21 BI11:BJ11 BM20:BO20">
    <cfRule type="expression" dxfId="107" priority="138" stopIfTrue="1">
      <formula>$I$29&lt;4</formula>
    </cfRule>
  </conditionalFormatting>
  <conditionalFormatting sqref="BM16:BO16">
    <cfRule type="expression" dxfId="106" priority="137" stopIfTrue="1">
      <formula>$I$29&lt;4</formula>
    </cfRule>
  </conditionalFormatting>
  <conditionalFormatting sqref="CR23:CT23 CR9:CT9">
    <cfRule type="expression" dxfId="105" priority="136" stopIfTrue="1">
      <formula>$I$29&lt;5</formula>
    </cfRule>
  </conditionalFormatting>
  <conditionalFormatting sqref="BZ23 BZ9">
    <cfRule type="expression" dxfId="104" priority="135" stopIfTrue="1">
      <formula>$I$29&lt;4</formula>
    </cfRule>
  </conditionalFormatting>
  <conditionalFormatting sqref="BE27:BF27 AU24:AV24 AZ20:BA20 AU20:AW20 AZ11:BA11 AV11:AW11 AQ20:AR20 AQ11:AR11 BH23:BJ23 BH9:BJ9">
    <cfRule type="expression" dxfId="103" priority="134" stopIfTrue="1">
      <formula>$I$29&lt;3</formula>
    </cfRule>
  </conditionalFormatting>
  <conditionalFormatting sqref="AU15:AW15">
    <cfRule type="expression" dxfId="102" priority="133" stopIfTrue="1">
      <formula>$I$29&lt;3</formula>
    </cfRule>
  </conditionalFormatting>
  <conditionalFormatting sqref="AM27:AN27 AP23:AR23 AP9:AR9 AH11:AI11 AH21:AI21 AD11:AE11 AC20:AE20 AC24:AD24 Y21:Z21 Y11:Z11">
    <cfRule type="expression" dxfId="101" priority="132" stopIfTrue="1">
      <formula>$I$29&lt;2</formula>
    </cfRule>
  </conditionalFormatting>
  <conditionalFormatting sqref="AC16:AE16">
    <cfRule type="expression" dxfId="100" priority="131" stopIfTrue="1">
      <formula>$I$29&lt;2</formula>
    </cfRule>
  </conditionalFormatting>
  <conditionalFormatting sqref="EG11 EG8:EI8">
    <cfRule type="expression" dxfId="99" priority="130" stopIfTrue="1">
      <formula>$I$29&lt;8</formula>
    </cfRule>
  </conditionalFormatting>
  <conditionalFormatting sqref="DO11 DO8:DQ8">
    <cfRule type="expression" dxfId="98" priority="129" stopIfTrue="1">
      <formula>$I$29&lt;7</formula>
    </cfRule>
  </conditionalFormatting>
  <conditionalFormatting sqref="CW11 CW8:CY8">
    <cfRule type="expression" dxfId="97" priority="128" stopIfTrue="1">
      <formula>$I$29&lt;6</formula>
    </cfRule>
  </conditionalFormatting>
  <conditionalFormatting sqref="CE11 CE8:CG8">
    <cfRule type="expression" dxfId="96" priority="127" stopIfTrue="1">
      <formula>$I$29&lt;5</formula>
    </cfRule>
  </conditionalFormatting>
  <conditionalFormatting sqref="BM11 BM8:BO8">
    <cfRule type="expression" dxfId="95" priority="126" stopIfTrue="1">
      <formula>$I$29&lt;4</formula>
    </cfRule>
  </conditionalFormatting>
  <conditionalFormatting sqref="AU11 AU8:AW8">
    <cfRule type="expression" dxfId="94" priority="125" stopIfTrue="1">
      <formula>$I$29&lt;3</formula>
    </cfRule>
  </conditionalFormatting>
  <conditionalFormatting sqref="EL16:EN16 EC16:EE16">
    <cfRule type="expression" dxfId="93" priority="124" stopIfTrue="1">
      <formula>$I$29&lt;8</formula>
    </cfRule>
  </conditionalFormatting>
  <conditionalFormatting sqref="DT15:DV15 DK15:DM15">
    <cfRule type="expression" dxfId="92" priority="123" stopIfTrue="1">
      <formula>$I$29&lt;7</formula>
    </cfRule>
  </conditionalFormatting>
  <conditionalFormatting sqref="DB16:DD16 CS16:CU16">
    <cfRule type="expression" dxfId="91" priority="122" stopIfTrue="1">
      <formula>$I$29&lt;6</formula>
    </cfRule>
  </conditionalFormatting>
  <conditionalFormatting sqref="CJ15:CL15 CA15:CC15">
    <cfRule type="expression" dxfId="90" priority="121" stopIfTrue="1">
      <formula>$I$29&lt;5</formula>
    </cfRule>
  </conditionalFormatting>
  <conditionalFormatting sqref="BR16:BT16 BI16:BK16">
    <cfRule type="expression" dxfId="89" priority="120" stopIfTrue="1">
      <formula>$I$29&lt;4</formula>
    </cfRule>
  </conditionalFormatting>
  <conditionalFormatting sqref="AZ15:BB15 AQ15:AS15">
    <cfRule type="expression" dxfId="88" priority="119" stopIfTrue="1">
      <formula>$I$29&lt;3</formula>
    </cfRule>
  </conditionalFormatting>
  <conditionalFormatting sqref="Y16:AA16 AH16:AJ16">
    <cfRule type="expression" dxfId="87" priority="118" stopIfTrue="1">
      <formula>$I$29&lt;2</formula>
    </cfRule>
  </conditionalFormatting>
  <conditionalFormatting sqref="EK15:EK18 EF15:EF18 EB15:EB18">
    <cfRule type="expression" dxfId="86" priority="117" stopIfTrue="1">
      <formula>$I$29&lt;8</formula>
    </cfRule>
  </conditionalFormatting>
  <conditionalFormatting sqref="DS14:DS17 DN14:DN17 DJ14:DJ17">
    <cfRule type="expression" dxfId="85" priority="116" stopIfTrue="1">
      <formula>$I$29&lt;7</formula>
    </cfRule>
  </conditionalFormatting>
  <conditionalFormatting sqref="CI14:CI17 CD14:CD17 BZ14:BZ17">
    <cfRule type="expression" priority="114" stopIfTrue="1">
      <formula>$I$29&lt;5</formula>
    </cfRule>
  </conditionalFormatting>
  <conditionalFormatting sqref="BQ15:BQ18 BL15:BL18 BH15:BH18">
    <cfRule type="expression" dxfId="84" priority="112" stopIfTrue="1">
      <formula>$I$29&lt;4</formula>
    </cfRule>
  </conditionalFormatting>
  <conditionalFormatting sqref="AY14:AY17 AT14:AT17 AP14:AP17">
    <cfRule type="expression" dxfId="83" priority="111" stopIfTrue="1">
      <formula>$I$29&lt;3</formula>
    </cfRule>
  </conditionalFormatting>
  <conditionalFormatting sqref="X15:X18 AB15:AB18 AG15:AG18">
    <cfRule type="expression" dxfId="82" priority="110" stopIfTrue="1">
      <formula>$I$29&lt;2</formula>
    </cfRule>
  </conditionalFormatting>
  <conditionalFormatting sqref="AC8:AE8 AC11">
    <cfRule type="expression" dxfId="81" priority="92" stopIfTrue="1">
      <formula>$I$29&lt;2</formula>
    </cfRule>
  </conditionalFormatting>
  <conditionalFormatting sqref="BZ14:BZ17 CD14:CD17 CI14:CI17">
    <cfRule type="expression" dxfId="80" priority="91" stopIfTrue="1">
      <formula>$I$29&lt;5</formula>
    </cfRule>
  </conditionalFormatting>
  <conditionalFormatting sqref="CV15:CV18">
    <cfRule type="expression" dxfId="79" priority="90" stopIfTrue="1">
      <formula>$I$29&lt;6</formula>
    </cfRule>
  </conditionalFormatting>
  <conditionalFormatting sqref="S14:AO14">
    <cfRule type="expression" dxfId="78" priority="89" stopIfTrue="1">
      <formula>$I$29&lt;2</formula>
    </cfRule>
  </conditionalFormatting>
  <conditionalFormatting sqref="U19:AN19">
    <cfRule type="expression" dxfId="77" priority="88" stopIfTrue="1">
      <formula>$I$29&lt;2</formula>
    </cfRule>
  </conditionalFormatting>
  <conditionalFormatting sqref="T16:T18">
    <cfRule type="expression" dxfId="76" priority="87" stopIfTrue="1">
      <formula>$I$29&lt;2</formula>
    </cfRule>
  </conditionalFormatting>
  <conditionalFormatting sqref="AO16">
    <cfRule type="expression" dxfId="75" priority="86" stopIfTrue="1">
      <formula>$I$29&lt;2</formula>
    </cfRule>
  </conditionalFormatting>
  <conditionalFormatting sqref="AO17">
    <cfRule type="expression" dxfId="74" priority="85" stopIfTrue="1">
      <formula>$I$29&lt;2</formula>
    </cfRule>
  </conditionalFormatting>
  <conditionalFormatting sqref="AO18">
    <cfRule type="expression" dxfId="73" priority="73" stopIfTrue="1">
      <formula>$I$29&lt;2</formula>
    </cfRule>
    <cfRule type="expression" dxfId="72" priority="84" stopIfTrue="1">
      <formula>$I$29&lt;2</formula>
    </cfRule>
  </conditionalFormatting>
  <conditionalFormatting sqref="AL14:AL16">
    <cfRule type="expression" dxfId="71" priority="82" stopIfTrue="1">
      <formula>$I$29&lt;3</formula>
    </cfRule>
  </conditionalFormatting>
  <conditionalFormatting sqref="AO18:BC18">
    <cfRule type="expression" dxfId="70" priority="81" stopIfTrue="1">
      <formula>$I$29&lt;3</formula>
    </cfRule>
  </conditionalFormatting>
  <conditionalFormatting sqref="BD18:BF18">
    <cfRule type="expression" dxfId="69" priority="79" stopIfTrue="1">
      <formula>$I$29&lt;3</formula>
    </cfRule>
  </conditionalFormatting>
  <conditionalFormatting sqref="AM13:BF13">
    <cfRule type="expression" dxfId="68" priority="78" stopIfTrue="1">
      <formula>$I$29&lt;3</formula>
    </cfRule>
  </conditionalFormatting>
  <conditionalFormatting sqref="BG14">
    <cfRule type="expression" dxfId="67" priority="77" stopIfTrue="1">
      <formula>$I$29&lt;3</formula>
    </cfRule>
  </conditionalFormatting>
  <conditionalFormatting sqref="BG15:BG16">
    <cfRule type="expression" dxfId="66" priority="76" stopIfTrue="1">
      <formula>$I$29&lt;3</formula>
    </cfRule>
  </conditionalFormatting>
  <conditionalFormatting sqref="AK18:AN18">
    <cfRule type="expression" dxfId="65" priority="74" stopIfTrue="1">
      <formula>$I$29&lt;3</formula>
    </cfRule>
  </conditionalFormatting>
  <conditionalFormatting sqref="AL14">
    <cfRule type="expression" dxfId="64" priority="71" stopIfTrue="1">
      <formula>$I$29&lt;2</formula>
    </cfRule>
  </conditionalFormatting>
  <conditionalFormatting sqref="BE19:BX19">
    <cfRule type="expression" dxfId="63" priority="70" stopIfTrue="1">
      <formula>$I$29&lt;4</formula>
    </cfRule>
  </conditionalFormatting>
  <conditionalFormatting sqref="BH14:BY14">
    <cfRule type="expression" dxfId="62" priority="69" stopIfTrue="1">
      <formula>$I$29&lt;4</formula>
    </cfRule>
  </conditionalFormatting>
  <conditionalFormatting sqref="BD16:BD17">
    <cfRule type="expression" dxfId="61" priority="68" stopIfTrue="1">
      <formula>$I$29&lt;4</formula>
    </cfRule>
  </conditionalFormatting>
  <conditionalFormatting sqref="BD18">
    <cfRule type="expression" dxfId="60" priority="65" stopIfTrue="1">
      <formula>$I$29&lt;3</formula>
    </cfRule>
    <cfRule type="expression" dxfId="59" priority="67" stopIfTrue="1">
      <formula>$I$29&lt;4</formula>
    </cfRule>
  </conditionalFormatting>
  <conditionalFormatting sqref="BC15:BG15">
    <cfRule type="expression" dxfId="58" priority="66" stopIfTrue="1">
      <formula>$I$29&lt;4</formula>
    </cfRule>
  </conditionalFormatting>
  <conditionalFormatting sqref="BG15">
    <cfRule type="expression" dxfId="57" priority="64" stopIfTrue="1">
      <formula>$I$29&lt;2</formula>
    </cfRule>
  </conditionalFormatting>
  <conditionalFormatting sqref="BF15">
    <cfRule type="expression" dxfId="56" priority="63" stopIfTrue="1">
      <formula>$I$29&lt;3</formula>
    </cfRule>
  </conditionalFormatting>
  <conditionalFormatting sqref="BW13:CP13">
    <cfRule type="expression" dxfId="55" priority="61" stopIfTrue="1">
      <formula>$I$29&lt;5</formula>
    </cfRule>
  </conditionalFormatting>
  <conditionalFormatting sqref="BU18:CP18">
    <cfRule type="expression" dxfId="54" priority="60" stopIfTrue="1">
      <formula>$I$29&lt;5</formula>
    </cfRule>
  </conditionalFormatting>
  <conditionalFormatting sqref="BV14:BV16">
    <cfRule type="expression" dxfId="53" priority="59" stopIfTrue="1">
      <formula>$I$29&lt;5</formula>
    </cfRule>
  </conditionalFormatting>
  <conditionalFormatting sqref="CQ14:CQ16">
    <cfRule type="expression" dxfId="52" priority="58" stopIfTrue="1">
      <formula>$I$29&lt;5</formula>
    </cfRule>
  </conditionalFormatting>
  <conditionalFormatting sqref="BV15">
    <cfRule type="expression" dxfId="51" priority="57" stopIfTrue="1">
      <formula>$I$29&lt;4</formula>
    </cfRule>
  </conditionalFormatting>
  <conditionalFormatting sqref="BY16">
    <cfRule type="expression" dxfId="50" priority="54" stopIfTrue="1">
      <formula>$I$29&lt;3</formula>
    </cfRule>
  </conditionalFormatting>
  <conditionalFormatting sqref="BY16:BY17">
    <cfRule type="expression" dxfId="49" priority="53" stopIfTrue="1">
      <formula>$I$29&lt;4</formula>
    </cfRule>
  </conditionalFormatting>
  <conditionalFormatting sqref="BY18">
    <cfRule type="expression" dxfId="48" priority="52" stopIfTrue="1">
      <formula>$I$29&lt;4</formula>
    </cfRule>
  </conditionalFormatting>
  <conditionalFormatting sqref="CM14:DI14">
    <cfRule type="expression" dxfId="47" priority="51" stopIfTrue="1">
      <formula>$I$29&lt;6</formula>
    </cfRule>
  </conditionalFormatting>
  <conditionalFormatting sqref="CP14">
    <cfRule type="expression" dxfId="46" priority="50" stopIfTrue="1">
      <formula>$I$29&lt;5</formula>
    </cfRule>
  </conditionalFormatting>
  <conditionalFormatting sqref="CO19:DH19">
    <cfRule type="expression" dxfId="45" priority="49" stopIfTrue="1">
      <formula>$I$29&lt;6</formula>
    </cfRule>
  </conditionalFormatting>
  <conditionalFormatting sqref="CN16:CN18">
    <cfRule type="expression" dxfId="44" priority="48" stopIfTrue="1">
      <formula>$I$29&lt;6</formula>
    </cfRule>
  </conditionalFormatting>
  <conditionalFormatting sqref="CN18">
    <cfRule type="expression" dxfId="43" priority="47" stopIfTrue="1">
      <formula>$I$29&lt;5</formula>
    </cfRule>
  </conditionalFormatting>
  <conditionalFormatting sqref="DI16:DI18">
    <cfRule type="expression" dxfId="42" priority="46" stopIfTrue="1">
      <formula>$I$29&lt;6</formula>
    </cfRule>
  </conditionalFormatting>
  <conditionalFormatting sqref="DG13:DZ13">
    <cfRule type="expression" dxfId="41" priority="45" stopIfTrue="1">
      <formula>$I$29&lt;7</formula>
    </cfRule>
  </conditionalFormatting>
  <conditionalFormatting sqref="DE18:DZ18">
    <cfRule type="expression" dxfId="40" priority="44" stopIfTrue="1">
      <formula>$I$29&lt;7</formula>
    </cfRule>
  </conditionalFormatting>
  <conditionalFormatting sqref="DF14:DF16">
    <cfRule type="expression" dxfId="39" priority="43" stopIfTrue="1">
      <formula>$I$29&lt;7</formula>
    </cfRule>
  </conditionalFormatting>
  <conditionalFormatting sqref="DF15">
    <cfRule type="expression" dxfId="38" priority="42" stopIfTrue="1">
      <formula>$I$29&lt;6</formula>
    </cfRule>
  </conditionalFormatting>
  <conditionalFormatting sqref="DH18">
    <cfRule type="expression" dxfId="37" priority="41" stopIfTrue="1">
      <formula>$I$29&lt;6</formula>
    </cfRule>
  </conditionalFormatting>
  <conditionalFormatting sqref="EA14:EA16">
    <cfRule type="expression" dxfId="36" priority="40" stopIfTrue="1">
      <formula>$I$29&lt;7</formula>
    </cfRule>
  </conditionalFormatting>
  <conditionalFormatting sqref="DY19:EQ19">
    <cfRule type="expression" dxfId="35" priority="39" stopIfTrue="1">
      <formula>$I$29&lt;8</formula>
    </cfRule>
  </conditionalFormatting>
  <conditionalFormatting sqref="DW14:ER14">
    <cfRule type="expression" dxfId="34" priority="36" stopIfTrue="1">
      <formula>$I$29&lt;8</formula>
    </cfRule>
  </conditionalFormatting>
  <conditionalFormatting sqref="DX16:DX18">
    <cfRule type="expression" dxfId="33" priority="35" stopIfTrue="1">
      <formula>$I$29&lt;8</formula>
    </cfRule>
  </conditionalFormatting>
  <conditionalFormatting sqref="ES15:ES17">
    <cfRule type="expression" dxfId="32" priority="34" stopIfTrue="1">
      <formula>$I$29&lt;8</formula>
    </cfRule>
  </conditionalFormatting>
  <conditionalFormatting sqref="EQ16:EQ18">
    <cfRule type="expression" dxfId="31" priority="33" stopIfTrue="1">
      <formula>$I$29&lt;8</formula>
    </cfRule>
  </conditionalFormatting>
  <conditionalFormatting sqref="DZ14">
    <cfRule type="expression" dxfId="30" priority="32" stopIfTrue="1">
      <formula>$I$29&lt;7</formula>
    </cfRule>
  </conditionalFormatting>
  <conditionalFormatting sqref="DX18">
    <cfRule type="expression" dxfId="29" priority="31" stopIfTrue="1">
      <formula>$I$29&lt;7</formula>
    </cfRule>
  </conditionalFormatting>
  <conditionalFormatting sqref="AM12:AO12">
    <cfRule type="expression" dxfId="28" priority="30" stopIfTrue="1">
      <formula>$AQ$9=0</formula>
    </cfRule>
  </conditionalFormatting>
  <conditionalFormatting sqref="BV12:BY12">
    <cfRule type="expression" dxfId="27" priority="29" stopIfTrue="1">
      <formula>$CA$9=0</formula>
    </cfRule>
  </conditionalFormatting>
  <conditionalFormatting sqref="CN12:CQ12">
    <cfRule type="expression" dxfId="26" priority="28" stopIfTrue="1">
      <formula>$CS$9=0</formula>
    </cfRule>
  </conditionalFormatting>
  <conditionalFormatting sqref="DF12:DI12">
    <cfRule type="expression" dxfId="25" priority="27" stopIfTrue="1">
      <formula>$DK$9=0</formula>
    </cfRule>
  </conditionalFormatting>
  <conditionalFormatting sqref="DX12:EA12">
    <cfRule type="expression" dxfId="24" priority="26" stopIfTrue="1">
      <formula>$EC$9=0</formula>
    </cfRule>
  </conditionalFormatting>
  <conditionalFormatting sqref="AQ39:AR39">
    <cfRule type="expression" dxfId="23" priority="25" stopIfTrue="1">
      <formula>$I$29&lt;8</formula>
    </cfRule>
  </conditionalFormatting>
  <conditionalFormatting sqref="AQ38:AR38">
    <cfRule type="expression" dxfId="22" priority="24" stopIfTrue="1">
      <formula>$I$29&lt;7</formula>
    </cfRule>
  </conditionalFormatting>
  <conditionalFormatting sqref="AQ37:AR37">
    <cfRule type="expression" dxfId="21" priority="23" stopIfTrue="1">
      <formula>$I$29&lt;6</formula>
    </cfRule>
  </conditionalFormatting>
  <conditionalFormatting sqref="AQ36:AR36">
    <cfRule type="expression" dxfId="20" priority="22" stopIfTrue="1">
      <formula>$I$29&lt;5</formula>
    </cfRule>
  </conditionalFormatting>
  <conditionalFormatting sqref="AQ35:AR35">
    <cfRule type="expression" dxfId="19" priority="21" stopIfTrue="1">
      <formula>$I$29&lt;4</formula>
    </cfRule>
  </conditionalFormatting>
  <conditionalFormatting sqref="AQ34:AR34">
    <cfRule type="expression" dxfId="18" priority="20" stopIfTrue="1">
      <formula>$I$29&lt;3</formula>
    </cfRule>
  </conditionalFormatting>
  <conditionalFormatting sqref="AQ33:AR33">
    <cfRule type="expression" dxfId="17" priority="19" stopIfTrue="1">
      <formula>$I$29&lt;2</formula>
    </cfRule>
  </conditionalFormatting>
  <conditionalFormatting sqref="AT38 AY38">
    <cfRule type="expression" dxfId="16" priority="18" stopIfTrue="1">
      <formula>$BJ$33&lt;5</formula>
    </cfRule>
  </conditionalFormatting>
  <conditionalFormatting sqref="AT33">
    <cfRule type="expression" dxfId="15" priority="10" stopIfTrue="1">
      <formula>$BJ$33=2</formula>
    </cfRule>
    <cfRule type="expression" dxfId="14" priority="17" stopIfTrue="1">
      <formula>$BJ$33&gt;4</formula>
    </cfRule>
  </conditionalFormatting>
  <conditionalFormatting sqref="AU38">
    <cfRule type="expression" dxfId="13" priority="3" stopIfTrue="1">
      <formula>$BJ$33=6</formula>
    </cfRule>
    <cfRule type="expression" dxfId="12" priority="16" stopIfTrue="1">
      <formula>$BJ$33&lt;5</formula>
    </cfRule>
  </conditionalFormatting>
  <conditionalFormatting sqref="AX38">
    <cfRule type="expression" dxfId="11" priority="1" stopIfTrue="1">
      <formula>$BJ$33=7</formula>
    </cfRule>
    <cfRule type="expression" dxfId="10" priority="15" stopIfTrue="1">
      <formula>$BJ$33&lt;5</formula>
    </cfRule>
  </conditionalFormatting>
  <conditionalFormatting sqref="AU33">
    <cfRule type="expression" dxfId="9" priority="7" stopIfTrue="1">
      <formula>$BJ$33=4</formula>
    </cfRule>
    <cfRule type="expression" dxfId="8" priority="14" stopIfTrue="1">
      <formula>OR($BJ$33&gt;4,$BJ$33=2)</formula>
    </cfRule>
  </conditionalFormatting>
  <conditionalFormatting sqref="AX33">
    <cfRule type="expression" dxfId="7" priority="6" stopIfTrue="1">
      <formula>$BJ$33=4</formula>
    </cfRule>
    <cfRule type="expression" dxfId="6" priority="11" stopIfTrue="1">
      <formula>$BJ$33=3</formula>
    </cfRule>
    <cfRule type="expression" dxfId="5" priority="13" stopIfTrue="1">
      <formula>$BJ$33&gt;4</formula>
    </cfRule>
  </conditionalFormatting>
  <conditionalFormatting sqref="AY33">
    <cfRule type="expression" dxfId="4" priority="5" stopIfTrue="1">
      <formula>$BJ$33&gt;4</formula>
    </cfRule>
    <cfRule type="expression" dxfId="3" priority="9" stopIfTrue="1">
      <formula>$BJ$33=3</formula>
    </cfRule>
  </conditionalFormatting>
  <conditionalFormatting sqref="AT33 AY33">
    <cfRule type="expression" dxfId="2" priority="8" stopIfTrue="1">
      <formula>$BJ$33=4</formula>
    </cfRule>
  </conditionalFormatting>
  <conditionalFormatting sqref="AT38">
    <cfRule type="expression" dxfId="1" priority="4" stopIfTrue="1">
      <formula>$BJ$33=6</formula>
    </cfRule>
  </conditionalFormatting>
  <conditionalFormatting sqref="AY38">
    <cfRule type="expression" dxfId="0" priority="2" stopIfTrue="1">
      <formula>$BJ$33=7</formula>
    </cfRule>
  </conditionalFormatting>
  <dataValidations count="1">
    <dataValidation type="list" allowBlank="1" showInputMessage="1" showErrorMessage="1" sqref="AU31" xr:uid="{00000000-0002-0000-0000-000000000000}">
      <formula1>$BD$33:$BD$39</formula1>
    </dataValidation>
  </dataValidations>
  <pageMargins left="0.75" right="0.75" top="1" bottom="1" header="0" footer="0"/>
  <pageSetup paperSize="9" orientation="portrait" horizontalDpi="4294967293" r:id="rId1"/>
  <headerFooter alignWithMargins="0"/>
  <ignoredErrors>
    <ignoredError sqref="L24:R24 S24:AB24 AK24:AT24 BC24:BL24 BU24:CD24 CM24:CV24 DE24:DN24 DW24:EF24 AD24:AJ24 AV24:BB24 C27 U27 AM27 BE27 BN24:BT24 CF24:CL24 CX24:DD24 DP24:DV24 EH24" unlockedFormula="1"/>
  </ignoredErrors>
  <drawing r:id="rId2"/>
  <legacyDrawing r:id="rId3"/>
  <controls>
    <mc:AlternateContent xmlns:mc="http://schemas.openxmlformats.org/markup-compatibility/2006">
      <mc:Choice Requires="x14">
        <control shapeId="1655" r:id="rId4" name="CommandButton9">
          <controlPr defaultSize="0" autoLine="0" autoPict="0" r:id="rId5">
            <anchor moveWithCells="1">
              <from>
                <xdr:col>7</xdr:col>
                <xdr:colOff>190500</xdr:colOff>
                <xdr:row>47</xdr:row>
                <xdr:rowOff>69850</xdr:rowOff>
              </from>
              <to>
                <xdr:col>9</xdr:col>
                <xdr:colOff>107950</xdr:colOff>
                <xdr:row>48</xdr:row>
                <xdr:rowOff>107950</xdr:rowOff>
              </to>
            </anchor>
          </controlPr>
        </control>
      </mc:Choice>
      <mc:Fallback>
        <control shapeId="1655" r:id="rId4" name="CommandButton9"/>
      </mc:Fallback>
    </mc:AlternateContent>
    <mc:AlternateContent xmlns:mc="http://schemas.openxmlformats.org/markup-compatibility/2006">
      <mc:Choice Requires="x14">
        <control shapeId="1653" r:id="rId6" name="CommandButton10">
          <controlPr locked="0" defaultSize="0" autoLine="0" autoPict="0" r:id="rId7">
            <anchor moveWithCells="1">
              <from>
                <xdr:col>12</xdr:col>
                <xdr:colOff>323850</xdr:colOff>
                <xdr:row>1</xdr:row>
                <xdr:rowOff>146050</xdr:rowOff>
              </from>
              <to>
                <xdr:col>17</xdr:col>
                <xdr:colOff>50800</xdr:colOff>
                <xdr:row>3</xdr:row>
                <xdr:rowOff>107950</xdr:rowOff>
              </to>
            </anchor>
          </controlPr>
        </control>
      </mc:Choice>
      <mc:Fallback>
        <control shapeId="1653" r:id="rId6" name="CommandButton10"/>
      </mc:Fallback>
    </mc:AlternateContent>
    <mc:AlternateContent xmlns:mc="http://schemas.openxmlformats.org/markup-compatibility/2006">
      <mc:Choice Requires="x14">
        <control shapeId="1646" r:id="rId8" name="CommandButton14">
          <controlPr locked="0" defaultSize="0" autoLine="0" autoPict="0" r:id="rId9">
            <anchor moveWithCells="1">
              <from>
                <xdr:col>32</xdr:col>
                <xdr:colOff>69850</xdr:colOff>
                <xdr:row>47</xdr:row>
                <xdr:rowOff>69850</xdr:rowOff>
              </from>
              <to>
                <xdr:col>34</xdr:col>
                <xdr:colOff>114300</xdr:colOff>
                <xdr:row>48</xdr:row>
                <xdr:rowOff>107950</xdr:rowOff>
              </to>
            </anchor>
          </controlPr>
        </control>
      </mc:Choice>
      <mc:Fallback>
        <control shapeId="1646" r:id="rId8" name="CommandButton14"/>
      </mc:Fallback>
    </mc:AlternateContent>
    <mc:AlternateContent xmlns:mc="http://schemas.openxmlformats.org/markup-compatibility/2006">
      <mc:Choice Requires="x14">
        <control shapeId="1645" r:id="rId10" name="CommandButton13">
          <controlPr locked="0" defaultSize="0" autoLine="0" autoPict="0" r:id="rId9">
            <anchor moveWithCells="1">
              <from>
                <xdr:col>29</xdr:col>
                <xdr:colOff>12700</xdr:colOff>
                <xdr:row>47</xdr:row>
                <xdr:rowOff>69850</xdr:rowOff>
              </from>
              <to>
                <xdr:col>31</xdr:col>
                <xdr:colOff>146050</xdr:colOff>
                <xdr:row>48</xdr:row>
                <xdr:rowOff>107950</xdr:rowOff>
              </to>
            </anchor>
          </controlPr>
        </control>
      </mc:Choice>
      <mc:Fallback>
        <control shapeId="1645" r:id="rId10" name="CommandButton13"/>
      </mc:Fallback>
    </mc:AlternateContent>
    <mc:AlternateContent xmlns:mc="http://schemas.openxmlformats.org/markup-compatibility/2006">
      <mc:Choice Requires="x14">
        <control shapeId="1614" r:id="rId11" name="CommandButton12">
          <controlPr locked="0" defaultSize="0" autoLine="0" r:id="rId12">
            <anchor moveWithCells="1">
              <from>
                <xdr:col>14</xdr:col>
                <xdr:colOff>514350</xdr:colOff>
                <xdr:row>47</xdr:row>
                <xdr:rowOff>69850</xdr:rowOff>
              </from>
              <to>
                <xdr:col>16</xdr:col>
                <xdr:colOff>273050</xdr:colOff>
                <xdr:row>48</xdr:row>
                <xdr:rowOff>107950</xdr:rowOff>
              </to>
            </anchor>
          </controlPr>
        </control>
      </mc:Choice>
      <mc:Fallback>
        <control shapeId="1614" r:id="rId11" name="CommandButton12"/>
      </mc:Fallback>
    </mc:AlternateContent>
    <mc:AlternateContent xmlns:mc="http://schemas.openxmlformats.org/markup-compatibility/2006">
      <mc:Choice Requires="x14">
        <control shapeId="1613" r:id="rId13" name="CommandButton11">
          <controlPr locked="0" defaultSize="0" autoLine="0" r:id="rId12">
            <anchor moveWithCells="1">
              <from>
                <xdr:col>18</xdr:col>
                <xdr:colOff>323850</xdr:colOff>
                <xdr:row>47</xdr:row>
                <xdr:rowOff>69850</xdr:rowOff>
              </from>
              <to>
                <xdr:col>22</xdr:col>
                <xdr:colOff>25400</xdr:colOff>
                <xdr:row>48</xdr:row>
                <xdr:rowOff>107950</xdr:rowOff>
              </to>
            </anchor>
          </controlPr>
        </control>
      </mc:Choice>
      <mc:Fallback>
        <control shapeId="1613" r:id="rId13" name="CommandButton11"/>
      </mc:Fallback>
    </mc:AlternateContent>
    <mc:AlternateContent xmlns:mc="http://schemas.openxmlformats.org/markup-compatibility/2006">
      <mc:Choice Requires="x14">
        <control shapeId="1518" r:id="rId14" name="CommandButton8">
          <controlPr locked="0" defaultSize="0" autoLine="0" altText="lºlç~ºl~º_x000a__x000a_" r:id="rId15">
            <anchor moveWithCells="1">
              <from>
                <xdr:col>12</xdr:col>
                <xdr:colOff>19050</xdr:colOff>
                <xdr:row>36</xdr:row>
                <xdr:rowOff>0</xdr:rowOff>
              </from>
              <to>
                <xdr:col>14</xdr:col>
                <xdr:colOff>533400</xdr:colOff>
                <xdr:row>37</xdr:row>
                <xdr:rowOff>25400</xdr:rowOff>
              </to>
            </anchor>
          </controlPr>
        </control>
      </mc:Choice>
      <mc:Fallback>
        <control shapeId="1518" r:id="rId14" name="CommandButton8"/>
      </mc:Fallback>
    </mc:AlternateContent>
    <mc:AlternateContent xmlns:mc="http://schemas.openxmlformats.org/markup-compatibility/2006">
      <mc:Choice Requires="x14">
        <control shapeId="1517" r:id="rId16" name="CommandButton7">
          <controlPr locked="0" defaultSize="0" autoLine="0" altText="lºlç~ºl~º_x000a__x000a_" r:id="rId17">
            <anchor moveWithCells="1">
              <from>
                <xdr:col>12</xdr:col>
                <xdr:colOff>19050</xdr:colOff>
                <xdr:row>34</xdr:row>
                <xdr:rowOff>0</xdr:rowOff>
              </from>
              <to>
                <xdr:col>14</xdr:col>
                <xdr:colOff>533400</xdr:colOff>
                <xdr:row>35</xdr:row>
                <xdr:rowOff>25400</xdr:rowOff>
              </to>
            </anchor>
          </controlPr>
        </control>
      </mc:Choice>
      <mc:Fallback>
        <control shapeId="1517" r:id="rId16" name="CommandButton7"/>
      </mc:Fallback>
    </mc:AlternateContent>
    <mc:AlternateContent xmlns:mc="http://schemas.openxmlformats.org/markup-compatibility/2006">
      <mc:Choice Requires="x14">
        <control shapeId="1504" r:id="rId18" name="CommandButton6">
          <controlPr locked="0" defaultSize="0" autoLine="0" altText="lºlç~ºl~º_x000a__x000a_" r:id="rId19">
            <anchor moveWithCells="1">
              <from>
                <xdr:col>12</xdr:col>
                <xdr:colOff>19050</xdr:colOff>
                <xdr:row>32</xdr:row>
                <xdr:rowOff>0</xdr:rowOff>
              </from>
              <to>
                <xdr:col>14</xdr:col>
                <xdr:colOff>533400</xdr:colOff>
                <xdr:row>33</xdr:row>
                <xdr:rowOff>25400</xdr:rowOff>
              </to>
            </anchor>
          </controlPr>
        </control>
      </mc:Choice>
      <mc:Fallback>
        <control shapeId="1504" r:id="rId18" name="CommandButton6"/>
      </mc:Fallback>
    </mc:AlternateContent>
    <mc:AlternateContent xmlns:mc="http://schemas.openxmlformats.org/markup-compatibility/2006">
      <mc:Choice Requires="x14">
        <control shapeId="1494" r:id="rId20" name="CommandButton5">
          <controlPr locked="0" defaultSize="0" autoLine="0" altText="lºlç~ºl~º_x000a__x000a_" r:id="rId21">
            <anchor moveWithCells="1">
              <from>
                <xdr:col>12</xdr:col>
                <xdr:colOff>19050</xdr:colOff>
                <xdr:row>30</xdr:row>
                <xdr:rowOff>0</xdr:rowOff>
              </from>
              <to>
                <xdr:col>14</xdr:col>
                <xdr:colOff>533400</xdr:colOff>
                <xdr:row>31</xdr:row>
                <xdr:rowOff>25400</xdr:rowOff>
              </to>
            </anchor>
          </controlPr>
        </control>
      </mc:Choice>
      <mc:Fallback>
        <control shapeId="1494" r:id="rId20" name="CommandButton5"/>
      </mc:Fallback>
    </mc:AlternateContent>
    <mc:AlternateContent xmlns:mc="http://schemas.openxmlformats.org/markup-compatibility/2006">
      <mc:Choice Requires="x14">
        <control shapeId="1493" r:id="rId22" name="CommandButton4">
          <controlPr locked="0" defaultSize="0" autoLine="0" autoPict="0" altText="lºlç~ºl~º_x000a__x000a_" r:id="rId23">
            <anchor moveWithCells="1">
              <from>
                <xdr:col>3</xdr:col>
                <xdr:colOff>31750</xdr:colOff>
                <xdr:row>35</xdr:row>
                <xdr:rowOff>222250</xdr:rowOff>
              </from>
              <to>
                <xdr:col>6</xdr:col>
                <xdr:colOff>0</xdr:colOff>
                <xdr:row>37</xdr:row>
                <xdr:rowOff>19050</xdr:rowOff>
              </to>
            </anchor>
          </controlPr>
        </control>
      </mc:Choice>
      <mc:Fallback>
        <control shapeId="1493" r:id="rId22" name="CommandButton4"/>
      </mc:Fallback>
    </mc:AlternateContent>
    <mc:AlternateContent xmlns:mc="http://schemas.openxmlformats.org/markup-compatibility/2006">
      <mc:Choice Requires="x14">
        <control shapeId="1492" r:id="rId24" name="CommandButton3">
          <controlPr locked="0" defaultSize="0" autoLine="0" autoPict="0" altText="lºlç~ºl~º_x000a__x000a_" r:id="rId25">
            <anchor moveWithCells="1">
              <from>
                <xdr:col>3</xdr:col>
                <xdr:colOff>31750</xdr:colOff>
                <xdr:row>33</xdr:row>
                <xdr:rowOff>222250</xdr:rowOff>
              </from>
              <to>
                <xdr:col>6</xdr:col>
                <xdr:colOff>0</xdr:colOff>
                <xdr:row>35</xdr:row>
                <xdr:rowOff>19050</xdr:rowOff>
              </to>
            </anchor>
          </controlPr>
        </control>
      </mc:Choice>
      <mc:Fallback>
        <control shapeId="1492" r:id="rId24" name="CommandButton3"/>
      </mc:Fallback>
    </mc:AlternateContent>
    <mc:AlternateContent xmlns:mc="http://schemas.openxmlformats.org/markup-compatibility/2006">
      <mc:Choice Requires="x14">
        <control shapeId="1491" r:id="rId26" name="CommandButton2">
          <controlPr locked="0" defaultSize="0" autoLine="0" autoPict="0" altText="lºlç~ºl~º_x000a__x000a_" r:id="rId27">
            <anchor moveWithCells="1">
              <from>
                <xdr:col>3</xdr:col>
                <xdr:colOff>31750</xdr:colOff>
                <xdr:row>31</xdr:row>
                <xdr:rowOff>209550</xdr:rowOff>
              </from>
              <to>
                <xdr:col>6</xdr:col>
                <xdr:colOff>0</xdr:colOff>
                <xdr:row>33</xdr:row>
                <xdr:rowOff>12700</xdr:rowOff>
              </to>
            </anchor>
          </controlPr>
        </control>
      </mc:Choice>
      <mc:Fallback>
        <control shapeId="1491" r:id="rId26" name="CommandButton2"/>
      </mc:Fallback>
    </mc:AlternateContent>
    <mc:AlternateContent xmlns:mc="http://schemas.openxmlformats.org/markup-compatibility/2006">
      <mc:Choice Requires="x14">
        <control shapeId="1488" r:id="rId28" name="CommandButton1">
          <controlPr locked="0" defaultSize="0" autoLine="0" altText="lºlç~ºl~º_x000a__x000a_" r:id="rId29">
            <anchor moveWithCells="1">
              <from>
                <xdr:col>3</xdr:col>
                <xdr:colOff>31750</xdr:colOff>
                <xdr:row>30</xdr:row>
                <xdr:rowOff>0</xdr:rowOff>
              </from>
              <to>
                <xdr:col>5</xdr:col>
                <xdr:colOff>304800</xdr:colOff>
                <xdr:row>31</xdr:row>
                <xdr:rowOff>25400</xdr:rowOff>
              </to>
            </anchor>
          </controlPr>
        </control>
      </mc:Choice>
      <mc:Fallback>
        <control shapeId="1488" r:id="rId28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published="0" codeName="Folha2"/>
  <dimension ref="A1:AA21"/>
  <sheetViews>
    <sheetView showGridLines="0" topLeftCell="E1" workbookViewId="0">
      <selection activeCell="O38" sqref="O38"/>
    </sheetView>
  </sheetViews>
  <sheetFormatPr defaultColWidth="9.1796875" defaultRowHeight="12.5" x14ac:dyDescent="0.25"/>
  <cols>
    <col min="1" max="16384" width="9.1796875" style="201"/>
  </cols>
  <sheetData>
    <row r="1" spans="1:27" s="199" customFormat="1" x14ac:dyDescent="0.25">
      <c r="A1" s="197">
        <f>Folha3!A15</f>
        <v>8</v>
      </c>
      <c r="B1" s="197">
        <f>Folha3!B15</f>
        <v>0.6</v>
      </c>
      <c r="C1" s="197">
        <f ca="1">Folha3!C15</f>
        <v>26</v>
      </c>
      <c r="D1" s="197">
        <f>Folha3!D15</f>
        <v>0.25</v>
      </c>
      <c r="E1" s="197">
        <f>Folha3!E15</f>
        <v>0.25</v>
      </c>
      <c r="F1" s="197">
        <f>Folha3!F15</f>
        <v>1</v>
      </c>
      <c r="G1" s="197">
        <f>Folha3!G15</f>
        <v>2</v>
      </c>
      <c r="H1" s="197">
        <f>Folha3!H15</f>
        <v>3</v>
      </c>
      <c r="I1" s="197">
        <f>Folha3!I15</f>
        <v>4</v>
      </c>
      <c r="J1" s="197">
        <f>Folha3!J15</f>
        <v>5</v>
      </c>
      <c r="K1" s="197">
        <f>Folha3!K15</f>
        <v>6</v>
      </c>
      <c r="L1" s="197">
        <f>Folha3!L15</f>
        <v>7</v>
      </c>
      <c r="M1" s="197">
        <f>Folha3!M15</f>
        <v>8</v>
      </c>
      <c r="N1" s="197">
        <f>Folha3!N15</f>
        <v>9</v>
      </c>
      <c r="O1" s="197">
        <f>Folha3!O15</f>
        <v>35</v>
      </c>
      <c r="P1" s="197">
        <f>Folha3!P15</f>
        <v>0.25</v>
      </c>
      <c r="Q1" s="197">
        <f>Folha3!Q15</f>
        <v>0.25</v>
      </c>
      <c r="R1" s="197">
        <f>Folha3!R15</f>
        <v>1</v>
      </c>
      <c r="S1" s="198">
        <f>Folha3!S15</f>
        <v>1</v>
      </c>
      <c r="T1" s="197">
        <f>Folha3!T15</f>
        <v>2</v>
      </c>
      <c r="U1" s="197">
        <f>Folha3!U15</f>
        <v>16</v>
      </c>
      <c r="V1" s="197">
        <f>Folha3!V15</f>
        <v>1</v>
      </c>
      <c r="W1" s="197">
        <f>Folha3!W15</f>
        <v>20</v>
      </c>
      <c r="X1" s="197">
        <f>Folha3!X15</f>
        <v>0</v>
      </c>
      <c r="Y1" s="197">
        <f>Folha3!Y15</f>
        <v>0</v>
      </c>
      <c r="Z1" s="197">
        <f>Folha3!Z15</f>
        <v>0</v>
      </c>
      <c r="AA1" s="197"/>
    </row>
    <row r="2" spans="1:27" s="199" customFormat="1" x14ac:dyDescent="0.25">
      <c r="A2" s="197">
        <f>Folha3!A16</f>
        <v>5</v>
      </c>
      <c r="B2" s="197">
        <f>Folha3!B16</f>
        <v>0.6</v>
      </c>
      <c r="C2" s="197">
        <f>Folha3!C16</f>
        <v>0</v>
      </c>
      <c r="D2" s="197">
        <f>Folha3!D16</f>
        <v>0.5</v>
      </c>
      <c r="E2" s="197">
        <f>Folha3!E16</f>
        <v>0.5</v>
      </c>
      <c r="F2" s="197">
        <f>Folha3!F16</f>
        <v>8</v>
      </c>
      <c r="G2" s="197">
        <f>Folha3!G16</f>
        <v>0.2</v>
      </c>
      <c r="H2" s="197">
        <f>Folha3!H16</f>
        <v>1.2</v>
      </c>
      <c r="I2" s="197">
        <f>Folha3!I16</f>
        <v>8</v>
      </c>
      <c r="J2" s="197">
        <f>Folha3!J16</f>
        <v>0.15</v>
      </c>
      <c r="K2" s="197">
        <f>Folha3!K16</f>
        <v>1.2</v>
      </c>
      <c r="L2" s="197">
        <f>Folha3!L16</f>
        <v>8</v>
      </c>
      <c r="M2" s="197">
        <f>Folha3!M16</f>
        <v>0.15</v>
      </c>
      <c r="N2" s="197">
        <f>Folha3!N16</f>
        <v>1</v>
      </c>
      <c r="O2" s="197">
        <f>Folha3!O16</f>
        <v>1.2</v>
      </c>
      <c r="P2" s="197">
        <f>Folha3!P16</f>
        <v>2</v>
      </c>
      <c r="Q2" s="197">
        <f>Folha3!Q16</f>
        <v>12</v>
      </c>
      <c r="R2" s="197">
        <f>Folha3!R16</f>
        <v>1</v>
      </c>
      <c r="S2" s="197">
        <f>Folha3!S16</f>
        <v>20</v>
      </c>
      <c r="T2" s="197">
        <f>Folha3!T16</f>
        <v>2</v>
      </c>
      <c r="U2" s="197">
        <f>Folha3!U16</f>
        <v>16</v>
      </c>
      <c r="V2" s="197">
        <f>Folha3!V16</f>
        <v>1</v>
      </c>
      <c r="W2" s="197">
        <f>Folha3!W16</f>
        <v>20</v>
      </c>
      <c r="X2" s="197">
        <f>Folha3!X16</f>
        <v>0.25</v>
      </c>
      <c r="Y2" s="197">
        <f>Folha3!Y16</f>
        <v>1</v>
      </c>
      <c r="Z2" s="197">
        <f>Folha3!Z16</f>
        <v>1</v>
      </c>
      <c r="AA2" s="197"/>
    </row>
    <row r="3" spans="1:27" s="199" customFormat="1" x14ac:dyDescent="0.25">
      <c r="A3" s="197">
        <f>Folha3!A17</f>
        <v>5</v>
      </c>
      <c r="B3" s="197">
        <f>Folha3!B17</f>
        <v>0.95</v>
      </c>
      <c r="C3" s="197">
        <f>Folha3!C17</f>
        <v>0.2</v>
      </c>
      <c r="D3" s="197">
        <f>Folha3!D17</f>
        <v>0.5</v>
      </c>
      <c r="E3" s="197">
        <f>Folha3!E17</f>
        <v>0.5</v>
      </c>
      <c r="F3" s="197">
        <f>Folha3!F17</f>
        <v>8</v>
      </c>
      <c r="G3" s="197">
        <f>Folha3!G17</f>
        <v>0.2</v>
      </c>
      <c r="H3" s="197">
        <f>Folha3!H17</f>
        <v>1.2</v>
      </c>
      <c r="I3" s="197">
        <f>Folha3!I17</f>
        <v>8</v>
      </c>
      <c r="J3" s="197">
        <f>Folha3!J17</f>
        <v>0.15</v>
      </c>
      <c r="K3" s="197">
        <f>Folha3!K17</f>
        <v>1.2</v>
      </c>
      <c r="L3" s="197">
        <f>Folha3!L17</f>
        <v>8</v>
      </c>
      <c r="M3" s="197">
        <f>Folha3!M17</f>
        <v>0.15</v>
      </c>
      <c r="N3" s="197">
        <f>Folha3!N17</f>
        <v>1.2</v>
      </c>
      <c r="O3" s="197">
        <f>Folha3!O17</f>
        <v>1.5</v>
      </c>
      <c r="P3" s="197">
        <f>Folha3!P17</f>
        <v>2</v>
      </c>
      <c r="Q3" s="197">
        <f>Folha3!Q17</f>
        <v>12</v>
      </c>
      <c r="R3" s="197">
        <f>Folha3!R17</f>
        <v>1</v>
      </c>
      <c r="S3" s="197">
        <f>Folha3!S17</f>
        <v>20</v>
      </c>
      <c r="T3" s="197">
        <f>Folha3!T17</f>
        <v>2</v>
      </c>
      <c r="U3" s="197">
        <f>Folha3!U17</f>
        <v>16</v>
      </c>
      <c r="V3" s="197">
        <f>Folha3!V17</f>
        <v>1</v>
      </c>
      <c r="W3" s="197">
        <f>Folha3!W17</f>
        <v>20</v>
      </c>
      <c r="X3" s="197">
        <f>Folha3!X17</f>
        <v>0.25</v>
      </c>
      <c r="Y3" s="197">
        <f>Folha3!Y17</f>
        <v>1</v>
      </c>
      <c r="Z3" s="197">
        <f>Folha3!Z17</f>
        <v>2</v>
      </c>
      <c r="AA3" s="197"/>
    </row>
    <row r="4" spans="1:27" s="199" customFormat="1" x14ac:dyDescent="0.25">
      <c r="A4" s="197">
        <f>Folha3!A18</f>
        <v>4</v>
      </c>
      <c r="B4" s="197">
        <f>Folha3!B18</f>
        <v>0.6</v>
      </c>
      <c r="C4" s="197">
        <f>Folha3!C18</f>
        <v>0.2</v>
      </c>
      <c r="D4" s="197">
        <f>Folha3!D18</f>
        <v>0.5</v>
      </c>
      <c r="E4" s="197">
        <f>Folha3!E18</f>
        <v>0.5</v>
      </c>
      <c r="F4" s="197">
        <f>Folha3!F18</f>
        <v>8</v>
      </c>
      <c r="G4" s="197">
        <f>Folha3!G18</f>
        <v>0.2</v>
      </c>
      <c r="H4" s="197">
        <f>Folha3!H18</f>
        <v>1.2</v>
      </c>
      <c r="I4" s="197">
        <f>Folha3!I18</f>
        <v>8</v>
      </c>
      <c r="J4" s="197">
        <f>Folha3!J18</f>
        <v>0.15</v>
      </c>
      <c r="K4" s="197">
        <f>Folha3!K18</f>
        <v>1.2</v>
      </c>
      <c r="L4" s="197">
        <f>Folha3!L18</f>
        <v>8</v>
      </c>
      <c r="M4" s="197">
        <f>Folha3!M18</f>
        <v>0.15</v>
      </c>
      <c r="N4" s="197">
        <f>Folha3!N18</f>
        <v>1.5</v>
      </c>
      <c r="O4" s="197">
        <f>Folha3!O18</f>
        <v>1.5</v>
      </c>
      <c r="P4" s="197">
        <f>Folha3!P18</f>
        <v>2</v>
      </c>
      <c r="Q4" s="197">
        <f>Folha3!Q18</f>
        <v>12</v>
      </c>
      <c r="R4" s="197">
        <f>Folha3!R18</f>
        <v>1</v>
      </c>
      <c r="S4" s="197">
        <f>Folha3!S18</f>
        <v>20</v>
      </c>
      <c r="T4" s="197">
        <f>Folha3!T18</f>
        <v>2</v>
      </c>
      <c r="U4" s="197">
        <f>Folha3!U18</f>
        <v>16</v>
      </c>
      <c r="V4" s="197">
        <f>Folha3!V18</f>
        <v>1</v>
      </c>
      <c r="W4" s="197">
        <f>Folha3!W18</f>
        <v>20</v>
      </c>
      <c r="X4" s="197">
        <f>Folha3!X18</f>
        <v>0.25</v>
      </c>
      <c r="Y4" s="197">
        <f>Folha3!Y18</f>
        <v>1</v>
      </c>
      <c r="Z4" s="197">
        <f>Folha3!Z18</f>
        <v>3</v>
      </c>
      <c r="AA4" s="197"/>
    </row>
    <row r="5" spans="1:27" s="199" customFormat="1" x14ac:dyDescent="0.25">
      <c r="A5" s="197">
        <f>Folha3!A19</f>
        <v>3</v>
      </c>
      <c r="B5" s="197">
        <f>Folha3!B19</f>
        <v>0.6</v>
      </c>
      <c r="C5" s="197">
        <f>Folha3!C19</f>
        <v>0</v>
      </c>
      <c r="D5" s="197">
        <f>Folha3!D19</f>
        <v>0.25</v>
      </c>
      <c r="E5" s="197">
        <f>Folha3!E19</f>
        <v>0.25</v>
      </c>
      <c r="F5" s="197">
        <f>Folha3!F19</f>
        <v>8</v>
      </c>
      <c r="G5" s="197">
        <f>Folha3!G19</f>
        <v>0.2</v>
      </c>
      <c r="H5" s="197">
        <f>Folha3!H19</f>
        <v>1.2</v>
      </c>
      <c r="I5" s="197">
        <f>Folha3!I19</f>
        <v>8</v>
      </c>
      <c r="J5" s="197">
        <f>Folha3!J19</f>
        <v>0.15</v>
      </c>
      <c r="K5" s="197">
        <f>Folha3!K19</f>
        <v>1.2</v>
      </c>
      <c r="L5" s="197">
        <f>Folha3!L19</f>
        <v>8</v>
      </c>
      <c r="M5" s="197">
        <f>Folha3!M19</f>
        <v>0.15</v>
      </c>
      <c r="N5" s="197">
        <f>Folha3!N19</f>
        <v>1.5</v>
      </c>
      <c r="O5" s="197">
        <f>Folha3!O19</f>
        <v>1.5</v>
      </c>
      <c r="P5" s="197">
        <f>Folha3!P19</f>
        <v>2</v>
      </c>
      <c r="Q5" s="197">
        <f>Folha3!Q19</f>
        <v>12</v>
      </c>
      <c r="R5" s="197">
        <f>Folha3!R19</f>
        <v>1</v>
      </c>
      <c r="S5" s="197">
        <f>Folha3!S19</f>
        <v>20</v>
      </c>
      <c r="T5" s="197">
        <f>Folha3!T19</f>
        <v>2</v>
      </c>
      <c r="U5" s="197">
        <f>Folha3!U19</f>
        <v>16</v>
      </c>
      <c r="V5" s="197">
        <f>Folha3!V19</f>
        <v>1</v>
      </c>
      <c r="W5" s="197">
        <f>Folha3!W19</f>
        <v>20</v>
      </c>
      <c r="X5" s="197">
        <f>Folha3!X19</f>
        <v>0.25</v>
      </c>
      <c r="Y5" s="197">
        <f>Folha3!Y19</f>
        <v>1</v>
      </c>
      <c r="Z5" s="197">
        <f>Folha3!Z19</f>
        <v>4</v>
      </c>
      <c r="AA5" s="197"/>
    </row>
    <row r="6" spans="1:27" s="199" customFormat="1" x14ac:dyDescent="0.25">
      <c r="A6" s="197">
        <f>Folha3!A20</f>
        <v>3</v>
      </c>
      <c r="B6" s="197">
        <f>Folha3!B20</f>
        <v>0.6</v>
      </c>
      <c r="C6" s="197">
        <f>Folha3!C20</f>
        <v>0</v>
      </c>
      <c r="D6" s="197">
        <f>Folha3!D20</f>
        <v>0.25</v>
      </c>
      <c r="E6" s="197">
        <f>Folha3!E20</f>
        <v>0.25</v>
      </c>
      <c r="F6" s="197">
        <f>Folha3!F20</f>
        <v>8</v>
      </c>
      <c r="G6" s="197">
        <f>Folha3!G20</f>
        <v>0.2</v>
      </c>
      <c r="H6" s="197">
        <f>Folha3!H20</f>
        <v>1.2</v>
      </c>
      <c r="I6" s="197">
        <f>Folha3!I20</f>
        <v>8</v>
      </c>
      <c r="J6" s="197">
        <f>Folha3!J20</f>
        <v>0.15</v>
      </c>
      <c r="K6" s="197">
        <f>Folha3!K20</f>
        <v>1.2</v>
      </c>
      <c r="L6" s="197">
        <f>Folha3!L20</f>
        <v>8</v>
      </c>
      <c r="M6" s="197">
        <f>Folha3!M20</f>
        <v>0.15</v>
      </c>
      <c r="N6" s="197">
        <f>Folha3!N20</f>
        <v>1.5</v>
      </c>
      <c r="O6" s="197">
        <f>Folha3!O20</f>
        <v>1.5</v>
      </c>
      <c r="P6" s="197">
        <f>Folha3!P20</f>
        <v>2</v>
      </c>
      <c r="Q6" s="197">
        <f>Folha3!Q20</f>
        <v>12</v>
      </c>
      <c r="R6" s="197">
        <f>Folha3!R20</f>
        <v>1</v>
      </c>
      <c r="S6" s="197">
        <f>Folha3!S20</f>
        <v>20</v>
      </c>
      <c r="T6" s="197">
        <f>Folha3!T20</f>
        <v>2</v>
      </c>
      <c r="U6" s="197">
        <f>Folha3!U20</f>
        <v>16</v>
      </c>
      <c r="V6" s="197">
        <f>Folha3!V20</f>
        <v>1</v>
      </c>
      <c r="W6" s="197">
        <f>Folha3!W20</f>
        <v>20</v>
      </c>
      <c r="X6" s="197">
        <f>Folha3!X20</f>
        <v>0.25</v>
      </c>
      <c r="Y6" s="197">
        <f>Folha3!Y20</f>
        <v>1</v>
      </c>
      <c r="Z6" s="197">
        <f>Folha3!Z20</f>
        <v>5</v>
      </c>
      <c r="AA6" s="197"/>
    </row>
    <row r="7" spans="1:27" s="199" customFormat="1" x14ac:dyDescent="0.25">
      <c r="A7" s="197">
        <f>Folha3!A21</f>
        <v>5</v>
      </c>
      <c r="B7" s="197">
        <f>Folha3!B21</f>
        <v>0.6</v>
      </c>
      <c r="C7" s="197">
        <f>Folha3!C21</f>
        <v>0</v>
      </c>
      <c r="D7" s="197">
        <f>Folha3!D21</f>
        <v>0.25</v>
      </c>
      <c r="E7" s="197">
        <f>Folha3!E21</f>
        <v>0.25</v>
      </c>
      <c r="F7" s="197">
        <f>Folha3!F21</f>
        <v>8</v>
      </c>
      <c r="G7" s="197">
        <f>Folha3!G21</f>
        <v>0.2</v>
      </c>
      <c r="H7" s="197">
        <f>Folha3!H21</f>
        <v>1.2</v>
      </c>
      <c r="I7" s="197">
        <f>Folha3!I21</f>
        <v>8</v>
      </c>
      <c r="J7" s="197">
        <f>Folha3!J21</f>
        <v>0.15</v>
      </c>
      <c r="K7" s="197">
        <f>Folha3!K21</f>
        <v>1.2</v>
      </c>
      <c r="L7" s="197">
        <f>Folha3!L21</f>
        <v>8</v>
      </c>
      <c r="M7" s="197">
        <f>Folha3!M21</f>
        <v>0.15</v>
      </c>
      <c r="N7" s="197">
        <f>Folha3!N21</f>
        <v>1.5</v>
      </c>
      <c r="O7" s="197">
        <f>Folha3!O21</f>
        <v>0</v>
      </c>
      <c r="P7" s="197">
        <f>Folha3!P21</f>
        <v>2</v>
      </c>
      <c r="Q7" s="197">
        <f>Folha3!Q21</f>
        <v>12</v>
      </c>
      <c r="R7" s="197">
        <f>Folha3!R21</f>
        <v>1</v>
      </c>
      <c r="S7" s="197">
        <f>Folha3!S21</f>
        <v>20</v>
      </c>
      <c r="T7" s="197">
        <f>Folha3!T21</f>
        <v>2</v>
      </c>
      <c r="U7" s="197">
        <f>Folha3!U21</f>
        <v>16</v>
      </c>
      <c r="V7" s="197">
        <f>Folha3!V21</f>
        <v>1</v>
      </c>
      <c r="W7" s="197">
        <f>Folha3!W21</f>
        <v>20</v>
      </c>
      <c r="X7" s="197">
        <f>Folha3!X21</f>
        <v>0.25</v>
      </c>
      <c r="Y7" s="197">
        <f>Folha3!Y21</f>
        <v>1</v>
      </c>
      <c r="Z7" s="197">
        <f>Folha3!Z21</f>
        <v>6</v>
      </c>
      <c r="AA7" s="197"/>
    </row>
    <row r="8" spans="1:27" s="199" customFormat="1" x14ac:dyDescent="0.25">
      <c r="A8" s="200">
        <f>Folha3!A22</f>
        <v>5</v>
      </c>
      <c r="B8" s="200">
        <f>Folha3!B22</f>
        <v>0.6</v>
      </c>
      <c r="C8" s="200">
        <f>Folha3!C22</f>
        <v>0</v>
      </c>
      <c r="D8" s="200">
        <f>Folha3!D22</f>
        <v>0.25</v>
      </c>
      <c r="E8" s="200">
        <f>Folha3!E22</f>
        <v>0.25</v>
      </c>
      <c r="F8" s="200">
        <f>Folha3!F22</f>
        <v>8</v>
      </c>
      <c r="G8" s="200">
        <f>Folha3!G22</f>
        <v>0.2</v>
      </c>
      <c r="H8" s="200">
        <f>Folha3!H22</f>
        <v>1.2</v>
      </c>
      <c r="I8" s="200">
        <f>Folha3!I22</f>
        <v>8</v>
      </c>
      <c r="J8" s="200">
        <f>Folha3!J22</f>
        <v>0.15</v>
      </c>
      <c r="K8" s="200">
        <f>Folha3!K22</f>
        <v>1.2</v>
      </c>
      <c r="L8" s="200">
        <f>Folha3!L22</f>
        <v>8</v>
      </c>
      <c r="M8" s="200">
        <f>Folha3!M22</f>
        <v>0.15</v>
      </c>
      <c r="N8" s="200">
        <f>Folha3!N22</f>
        <v>1.5</v>
      </c>
      <c r="O8" s="200">
        <f>Folha3!O22</f>
        <v>1.5</v>
      </c>
      <c r="P8" s="200">
        <f>Folha3!P22</f>
        <v>2</v>
      </c>
      <c r="Q8" s="200">
        <f>Folha3!Q22</f>
        <v>12</v>
      </c>
      <c r="R8" s="200">
        <f>Folha3!R22</f>
        <v>1</v>
      </c>
      <c r="S8" s="200">
        <f>Folha3!S22</f>
        <v>20</v>
      </c>
      <c r="T8" s="200">
        <f>Folha3!T22</f>
        <v>2</v>
      </c>
      <c r="U8" s="200">
        <f>Folha3!U22</f>
        <v>16</v>
      </c>
      <c r="V8" s="200">
        <f>Folha3!V22</f>
        <v>1</v>
      </c>
      <c r="W8" s="200">
        <f>Folha3!W22</f>
        <v>20</v>
      </c>
      <c r="X8" s="200">
        <f>Folha3!X22</f>
        <v>0.25</v>
      </c>
      <c r="Y8" s="200">
        <f>Folha3!Y22</f>
        <v>1</v>
      </c>
      <c r="Z8" s="200">
        <f>Folha3!Z22</f>
        <v>7</v>
      </c>
      <c r="AA8" s="200"/>
    </row>
    <row r="9" spans="1:27" s="199" customFormat="1" x14ac:dyDescent="0.25">
      <c r="A9" s="200">
        <f>Folha3!A23</f>
        <v>5</v>
      </c>
      <c r="B9" s="200">
        <f>Folha3!B23</f>
        <v>0.6</v>
      </c>
      <c r="C9" s="200">
        <f>Folha3!C23</f>
        <v>0</v>
      </c>
      <c r="D9" s="200">
        <f>Folha3!D23</f>
        <v>0.25</v>
      </c>
      <c r="E9" s="200">
        <f>Folha3!E23</f>
        <v>0.25</v>
      </c>
      <c r="F9" s="200">
        <f>Folha3!F23</f>
        <v>8</v>
      </c>
      <c r="G9" s="200">
        <f>Folha3!G23</f>
        <v>0.2</v>
      </c>
      <c r="H9" s="200">
        <f>Folha3!H23</f>
        <v>1.2</v>
      </c>
      <c r="I9" s="200">
        <f>Folha3!I23</f>
        <v>8</v>
      </c>
      <c r="J9" s="200">
        <f>Folha3!J23</f>
        <v>0.15</v>
      </c>
      <c r="K9" s="200">
        <f>Folha3!K23</f>
        <v>1.2</v>
      </c>
      <c r="L9" s="200">
        <f>Folha3!L23</f>
        <v>8</v>
      </c>
      <c r="M9" s="200">
        <f>Folha3!M23</f>
        <v>0.15</v>
      </c>
      <c r="N9" s="200">
        <f>Folha3!N23</f>
        <v>1.5</v>
      </c>
      <c r="O9" s="200">
        <f>Folha3!O23</f>
        <v>1.5</v>
      </c>
      <c r="P9" s="200">
        <f>Folha3!P23</f>
        <v>2</v>
      </c>
      <c r="Q9" s="200">
        <f>Folha3!Q23</f>
        <v>12</v>
      </c>
      <c r="R9" s="200">
        <f>Folha3!R23</f>
        <v>1</v>
      </c>
      <c r="S9" s="200">
        <f>Folha3!S23</f>
        <v>20</v>
      </c>
      <c r="T9" s="200">
        <f>Folha3!T23</f>
        <v>2</v>
      </c>
      <c r="U9" s="200">
        <f>Folha3!U23</f>
        <v>16</v>
      </c>
      <c r="V9" s="200">
        <f>Folha3!V23</f>
        <v>1</v>
      </c>
      <c r="W9" s="200">
        <f>Folha3!W23</f>
        <v>20</v>
      </c>
      <c r="X9" s="200">
        <f>Folha3!X23</f>
        <v>0.25</v>
      </c>
      <c r="Y9" s="200">
        <f>Folha3!Y23</f>
        <v>0</v>
      </c>
      <c r="Z9" s="200">
        <f>Folha3!Z23</f>
        <v>0</v>
      </c>
      <c r="AA9" s="200"/>
    </row>
    <row r="10" spans="1:27" s="199" customFormat="1" x14ac:dyDescent="0.25"/>
    <row r="11" spans="1:27" s="199" customFormat="1" x14ac:dyDescent="0.25"/>
    <row r="12" spans="1:27" s="199" customFormat="1" x14ac:dyDescent="0.25"/>
    <row r="13" spans="1:27" s="199" customFormat="1" x14ac:dyDescent="0.25"/>
    <row r="14" spans="1:27" s="199" customFormat="1" x14ac:dyDescent="0.25"/>
    <row r="15" spans="1:27" s="199" customFormat="1" x14ac:dyDescent="0.25"/>
    <row r="16" spans="1:27" s="199" customFormat="1" x14ac:dyDescent="0.25"/>
    <row r="17" s="199" customFormat="1" x14ac:dyDescent="0.25"/>
    <row r="18" s="199" customFormat="1" x14ac:dyDescent="0.25"/>
    <row r="19" s="199" customFormat="1" x14ac:dyDescent="0.25"/>
    <row r="20" s="199" customFormat="1" x14ac:dyDescent="0.25"/>
    <row r="21" s="199" customFormat="1" x14ac:dyDescent="0.25"/>
  </sheetData>
  <sheetProtection algorithmName="SHA-512" hashValue="ghgkZh6RA2DMtVHe0zjdPPlgJ+B4/H2Fw+IgxGxV3gDi2pDSpblqimXfwfR4OwzbCFsZtBjF67Rga+PfY88tqA==" saltValue="M1uw5+9bwGx/tcs24e2cjA==" spinCount="100000" sheet="1" objects="1" scenarios="1"/>
  <phoneticPr fontId="2" type="noConversion"/>
  <pageMargins left="0.75" right="0.75" top="1" bottom="1" header="0" footer="0"/>
  <pageSetup paperSize="9" orientation="portrait" horizontalDpi="4294967293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lha3"/>
  <dimension ref="A1:AA38"/>
  <sheetViews>
    <sheetView workbookViewId="0">
      <selection sqref="A1:Q20"/>
    </sheetView>
  </sheetViews>
  <sheetFormatPr defaultColWidth="9.1796875" defaultRowHeight="12.5" x14ac:dyDescent="0.25"/>
  <cols>
    <col min="1" max="1" width="10.1796875" style="193" bestFit="1" customWidth="1"/>
    <col min="2" max="2" width="9.26953125" style="193" bestFit="1" customWidth="1"/>
    <col min="3" max="3" width="10.26953125" style="193" bestFit="1" customWidth="1"/>
    <col min="4" max="15" width="9.26953125" style="193" bestFit="1" customWidth="1"/>
    <col min="16" max="16384" width="9.1796875" style="193"/>
  </cols>
  <sheetData>
    <row r="1" spans="1:27" x14ac:dyDescent="0.25">
      <c r="A1" s="191" t="s">
        <v>4</v>
      </c>
      <c r="B1" s="191" t="s">
        <v>2</v>
      </c>
      <c r="C1" s="191" t="s">
        <v>3</v>
      </c>
      <c r="D1" s="191" t="s">
        <v>1</v>
      </c>
      <c r="E1" s="192" t="s">
        <v>5</v>
      </c>
      <c r="F1" s="191" t="s">
        <v>6</v>
      </c>
      <c r="G1" s="191" t="s">
        <v>7</v>
      </c>
      <c r="H1" s="191" t="s">
        <v>12</v>
      </c>
      <c r="I1" s="191" t="s">
        <v>8</v>
      </c>
      <c r="J1" s="191" t="s">
        <v>9</v>
      </c>
      <c r="K1" s="191" t="s">
        <v>13</v>
      </c>
      <c r="L1" s="191" t="s">
        <v>10</v>
      </c>
      <c r="M1" s="191" t="s">
        <v>11</v>
      </c>
      <c r="N1" s="191" t="s">
        <v>14</v>
      </c>
      <c r="O1" s="191" t="s">
        <v>15</v>
      </c>
      <c r="P1" s="191" t="s">
        <v>29</v>
      </c>
      <c r="Q1" s="191" t="s">
        <v>30</v>
      </c>
      <c r="R1" s="191" t="s">
        <v>31</v>
      </c>
      <c r="S1" s="191" t="s">
        <v>30</v>
      </c>
      <c r="T1" s="191" t="s">
        <v>32</v>
      </c>
      <c r="U1" s="191" t="s">
        <v>33</v>
      </c>
      <c r="V1" s="191" t="s">
        <v>34</v>
      </c>
      <c r="W1" s="191" t="s">
        <v>35</v>
      </c>
      <c r="X1" s="191" t="s">
        <v>36</v>
      </c>
      <c r="Y1" s="191" t="s">
        <v>40</v>
      </c>
      <c r="Z1" s="191" t="s">
        <v>41</v>
      </c>
      <c r="AA1" s="191"/>
    </row>
    <row r="2" spans="1:27" x14ac:dyDescent="0.25">
      <c r="A2" s="191">
        <f>Beam!I29</f>
        <v>8</v>
      </c>
      <c r="B2" s="192">
        <f>Beam!M20</f>
        <v>0.6</v>
      </c>
      <c r="C2" s="191">
        <f ca="1">A37-2000</f>
        <v>26</v>
      </c>
      <c r="D2" s="192">
        <f>Beam!G23</f>
        <v>0.25</v>
      </c>
      <c r="E2" s="192">
        <f>Beam!G9</f>
        <v>0.25</v>
      </c>
      <c r="F2" s="191">
        <f>Beam!AQ31</f>
        <v>1</v>
      </c>
      <c r="G2" s="191">
        <f>Beam!AQ32</f>
        <v>2</v>
      </c>
      <c r="H2" s="191">
        <f>Beam!AQ33</f>
        <v>3</v>
      </c>
      <c r="I2" s="191">
        <f>Beam!AQ34</f>
        <v>4</v>
      </c>
      <c r="J2" s="191">
        <f>Beam!AQ35</f>
        <v>5</v>
      </c>
      <c r="K2" s="191">
        <f>Beam!AQ36</f>
        <v>6</v>
      </c>
      <c r="L2" s="191">
        <f>Beam!AQ37</f>
        <v>7</v>
      </c>
      <c r="M2" s="191">
        <f>Beam!AQ38</f>
        <v>8</v>
      </c>
      <c r="N2" s="191">
        <f>Beam!AQ39</f>
        <v>9</v>
      </c>
      <c r="O2" s="194">
        <f>SUM(A16:A23)</f>
        <v>35</v>
      </c>
      <c r="P2" s="192">
        <f>IF(Beam!BJ33&lt;4,Beam!AT33,Beam!AT38)</f>
        <v>0.25</v>
      </c>
      <c r="Q2" s="192">
        <f>IF(Beam!BJ33&lt;4,Beam!AY33,Beam!AY38)</f>
        <v>0.25</v>
      </c>
      <c r="R2" s="191">
        <f>Beam!BJ33</f>
        <v>1</v>
      </c>
      <c r="S2" s="191">
        <f>Beam!I5</f>
        <v>1</v>
      </c>
      <c r="T2" s="191">
        <f>Beam!AD32</f>
        <v>2</v>
      </c>
      <c r="U2" s="191">
        <f>Beam!AF32</f>
        <v>16</v>
      </c>
      <c r="V2" s="191">
        <f>Beam!AG31</f>
        <v>1</v>
      </c>
      <c r="W2" s="191">
        <f>Beam!AI31</f>
        <v>20</v>
      </c>
      <c r="X2" s="192">
        <v>0</v>
      </c>
      <c r="Y2" s="195">
        <v>0</v>
      </c>
      <c r="Z2" s="193">
        <v>0</v>
      </c>
    </row>
    <row r="3" spans="1:27" x14ac:dyDescent="0.25">
      <c r="A3" s="192">
        <f>Beam!K24</f>
        <v>5</v>
      </c>
      <c r="B3" s="191">
        <f>Beam!M20</f>
        <v>0.6</v>
      </c>
      <c r="C3" s="191">
        <v>0</v>
      </c>
      <c r="D3" s="192">
        <f>Beam!Y23</f>
        <v>0.5</v>
      </c>
      <c r="E3" s="192">
        <f>Beam!Y9</f>
        <v>0.5</v>
      </c>
      <c r="F3" s="191">
        <f>Beam!K15</f>
        <v>8</v>
      </c>
      <c r="G3" s="191">
        <f>Beam!L15</f>
        <v>0.2</v>
      </c>
      <c r="H3" s="192">
        <f>Beam!G20</f>
        <v>1.2</v>
      </c>
      <c r="I3" s="191">
        <f>Beam!G15</f>
        <v>8</v>
      </c>
      <c r="J3" s="191">
        <f>Beam!H15</f>
        <v>0.15</v>
      </c>
      <c r="K3" s="192">
        <f>Beam!P20</f>
        <v>1.2</v>
      </c>
      <c r="L3" s="194">
        <f>Beam!P15</f>
        <v>8</v>
      </c>
      <c r="M3" s="191">
        <f>Beam!Q15</f>
        <v>0.15</v>
      </c>
      <c r="N3" s="192">
        <f>Beam!G11</f>
        <v>1</v>
      </c>
      <c r="O3" s="192">
        <f>Beam!P11</f>
        <v>1.2</v>
      </c>
      <c r="P3" s="191">
        <f>Beam!P40</f>
        <v>2</v>
      </c>
      <c r="Q3" s="191">
        <f>Beam!R40</f>
        <v>12</v>
      </c>
      <c r="R3" s="191">
        <f>Beam!T40</f>
        <v>1</v>
      </c>
      <c r="S3" s="191">
        <f>Beam!V40</f>
        <v>20</v>
      </c>
      <c r="T3" s="191">
        <f>T2</f>
        <v>2</v>
      </c>
      <c r="U3" s="191">
        <f>U2</f>
        <v>16</v>
      </c>
      <c r="V3" s="191">
        <f>Beam!AG33</f>
        <v>1</v>
      </c>
      <c r="W3" s="191">
        <f>Beam!AI33</f>
        <v>20</v>
      </c>
      <c r="X3" s="192">
        <f>Beam!K20</f>
        <v>0.25</v>
      </c>
      <c r="Y3" s="191">
        <f>IF(Beam!AJ33="x",1,0)</f>
        <v>1</v>
      </c>
      <c r="Z3" s="193">
        <f>Beam!AL33</f>
        <v>1</v>
      </c>
    </row>
    <row r="4" spans="1:27" x14ac:dyDescent="0.25">
      <c r="A4" s="192">
        <f>Beam!AC24</f>
        <v>5</v>
      </c>
      <c r="B4" s="191">
        <f>Beam!AE20</f>
        <v>0.95</v>
      </c>
      <c r="C4" s="192">
        <f>Beam!AD11</f>
        <v>0.2</v>
      </c>
      <c r="D4" s="192">
        <f>Beam!AQ23</f>
        <v>0.5</v>
      </c>
      <c r="E4" s="192">
        <f>Beam!AQ9</f>
        <v>0.5</v>
      </c>
      <c r="F4" s="191">
        <f>Beam!AC16</f>
        <v>8</v>
      </c>
      <c r="G4" s="192">
        <f>Beam!AD16</f>
        <v>0.2</v>
      </c>
      <c r="H4" s="192">
        <f>Beam!Y21</f>
        <v>1.2</v>
      </c>
      <c r="I4" s="191">
        <f>Beam!Y16</f>
        <v>8</v>
      </c>
      <c r="J4" s="191">
        <f>Beam!Z16</f>
        <v>0.15</v>
      </c>
      <c r="K4" s="192">
        <f>Beam!AH21</f>
        <v>1.2</v>
      </c>
      <c r="L4" s="194">
        <f>Beam!AH16</f>
        <v>8</v>
      </c>
      <c r="M4" s="192">
        <f>Beam!AI16</f>
        <v>0.15</v>
      </c>
      <c r="N4" s="192">
        <f>Beam!Y11</f>
        <v>1.2</v>
      </c>
      <c r="O4" s="192">
        <f>Beam!AH11</f>
        <v>1.5</v>
      </c>
      <c r="P4" s="191">
        <f>Beam!P41</f>
        <v>2</v>
      </c>
      <c r="Q4" s="191">
        <f>Beam!R41</f>
        <v>12</v>
      </c>
      <c r="R4" s="191">
        <f>Beam!T41</f>
        <v>1</v>
      </c>
      <c r="S4" s="191">
        <f>Beam!V41</f>
        <v>20</v>
      </c>
      <c r="T4" s="191">
        <f>Beam!AD34</f>
        <v>2</v>
      </c>
      <c r="U4" s="191">
        <f>Beam!AF34</f>
        <v>16</v>
      </c>
      <c r="V4" s="191">
        <f>Beam!AG35</f>
        <v>1</v>
      </c>
      <c r="W4" s="191">
        <f>Beam!AI35</f>
        <v>20</v>
      </c>
      <c r="X4" s="192">
        <f>Beam!AC20</f>
        <v>0.25</v>
      </c>
      <c r="Y4" s="191">
        <f>IF(Beam!AJ35="x",1,0)</f>
        <v>1</v>
      </c>
      <c r="Z4" s="193">
        <f>Beam!AL35</f>
        <v>2</v>
      </c>
    </row>
    <row r="5" spans="1:27" x14ac:dyDescent="0.25">
      <c r="A5" s="192">
        <f>Beam!AU24</f>
        <v>4</v>
      </c>
      <c r="B5" s="191">
        <f>Beam!AW20</f>
        <v>0.6</v>
      </c>
      <c r="C5" s="192">
        <f>Beam!AV11</f>
        <v>0.2</v>
      </c>
      <c r="D5" s="192">
        <f>Beam!BI23</f>
        <v>0.5</v>
      </c>
      <c r="E5" s="192">
        <f>Beam!BI9</f>
        <v>0.5</v>
      </c>
      <c r="F5" s="191">
        <f>Beam!AU15</f>
        <v>8</v>
      </c>
      <c r="G5" s="191">
        <f>Beam!AV15</f>
        <v>0.2</v>
      </c>
      <c r="H5" s="192">
        <f>Beam!AQ20</f>
        <v>1.2</v>
      </c>
      <c r="I5" s="191">
        <f>Beam!AQ15</f>
        <v>8</v>
      </c>
      <c r="J5" s="191">
        <f>Beam!AR15</f>
        <v>0.15</v>
      </c>
      <c r="K5" s="192">
        <f>Beam!AZ20</f>
        <v>1.2</v>
      </c>
      <c r="L5" s="194">
        <f>Beam!AZ15</f>
        <v>8</v>
      </c>
      <c r="M5" s="191">
        <f>Beam!BA15</f>
        <v>0.15</v>
      </c>
      <c r="N5" s="192">
        <f>Beam!AQ11</f>
        <v>1.5</v>
      </c>
      <c r="O5" s="192">
        <f>Beam!AZ11</f>
        <v>1.5</v>
      </c>
      <c r="P5" s="191">
        <f>Beam!P42</f>
        <v>2</v>
      </c>
      <c r="Q5" s="191">
        <f>Beam!R42</f>
        <v>12</v>
      </c>
      <c r="R5" s="191">
        <f>Beam!T42</f>
        <v>1</v>
      </c>
      <c r="S5" s="191">
        <f>Beam!V42</f>
        <v>20</v>
      </c>
      <c r="T5" s="191">
        <f>Beam!AD36</f>
        <v>2</v>
      </c>
      <c r="U5" s="191">
        <f>Beam!AF36</f>
        <v>16</v>
      </c>
      <c r="V5" s="191">
        <f>Beam!AG37</f>
        <v>1</v>
      </c>
      <c r="W5" s="191">
        <f>Beam!AI37</f>
        <v>20</v>
      </c>
      <c r="X5" s="192">
        <f>Beam!AU20</f>
        <v>0.25</v>
      </c>
      <c r="Y5" s="191">
        <f>IF(Beam!AJ37="x",1,0)</f>
        <v>1</v>
      </c>
      <c r="Z5" s="193">
        <f>Beam!AL37</f>
        <v>3</v>
      </c>
    </row>
    <row r="6" spans="1:27" x14ac:dyDescent="0.25">
      <c r="A6" s="192">
        <f>Beam!BM24</f>
        <v>3</v>
      </c>
      <c r="B6" s="191">
        <f>Beam!BO20</f>
        <v>0.6</v>
      </c>
      <c r="C6" s="192">
        <f>Beam!BN11</f>
        <v>0</v>
      </c>
      <c r="D6" s="192">
        <f>Beam!CA23</f>
        <v>0.25</v>
      </c>
      <c r="E6" s="192">
        <f>Beam!CA9</f>
        <v>0.25</v>
      </c>
      <c r="F6" s="191">
        <f>Beam!BM16</f>
        <v>8</v>
      </c>
      <c r="G6" s="192">
        <f>Beam!BN16</f>
        <v>0.2</v>
      </c>
      <c r="H6" s="192">
        <f>Beam!BI21</f>
        <v>1.2</v>
      </c>
      <c r="I6" s="191">
        <f>Beam!BI16</f>
        <v>8</v>
      </c>
      <c r="J6" s="191">
        <f>Beam!BJ16</f>
        <v>0.15</v>
      </c>
      <c r="K6" s="192">
        <f>Beam!BR21</f>
        <v>1.2</v>
      </c>
      <c r="L6" s="194">
        <f>Beam!BR16</f>
        <v>8</v>
      </c>
      <c r="M6" s="192">
        <f>Beam!BS16</f>
        <v>0.15</v>
      </c>
      <c r="N6" s="192">
        <f>Beam!BI11</f>
        <v>1.5</v>
      </c>
      <c r="O6" s="192">
        <f>Beam!BR11</f>
        <v>1.5</v>
      </c>
      <c r="P6" s="191">
        <f>Beam!P43</f>
        <v>2</v>
      </c>
      <c r="Q6" s="191">
        <f>Beam!R43</f>
        <v>12</v>
      </c>
      <c r="R6" s="191">
        <f>Beam!T43</f>
        <v>1</v>
      </c>
      <c r="S6" s="191">
        <f>Beam!V43</f>
        <v>20</v>
      </c>
      <c r="T6" s="191">
        <f>Beam!AD38</f>
        <v>2</v>
      </c>
      <c r="U6" s="191">
        <f>Beam!AF38</f>
        <v>16</v>
      </c>
      <c r="V6" s="191">
        <f>Beam!AG39</f>
        <v>1</v>
      </c>
      <c r="W6" s="191">
        <f>Beam!AI39</f>
        <v>20</v>
      </c>
      <c r="X6" s="192">
        <f>Beam!BM20</f>
        <v>0.25</v>
      </c>
      <c r="Y6" s="191">
        <f>IF(Beam!AJ39="x",1,0)</f>
        <v>1</v>
      </c>
      <c r="Z6" s="193">
        <f>Beam!AL39</f>
        <v>4</v>
      </c>
    </row>
    <row r="7" spans="1:27" x14ac:dyDescent="0.25">
      <c r="A7" s="192">
        <f>Beam!CE24</f>
        <v>3</v>
      </c>
      <c r="B7" s="191">
        <f>Beam!CG20</f>
        <v>0.6</v>
      </c>
      <c r="C7" s="192">
        <f>Beam!CF11</f>
        <v>0</v>
      </c>
      <c r="D7" s="192">
        <f>Beam!CS23</f>
        <v>0.25</v>
      </c>
      <c r="E7" s="192">
        <f>Beam!CS9</f>
        <v>0.25</v>
      </c>
      <c r="F7" s="191">
        <f>Beam!CE15</f>
        <v>8</v>
      </c>
      <c r="G7" s="191">
        <f>Beam!CF15</f>
        <v>0.2</v>
      </c>
      <c r="H7" s="192">
        <f>Beam!CA20</f>
        <v>1.2</v>
      </c>
      <c r="I7" s="191">
        <f>Beam!CA15</f>
        <v>8</v>
      </c>
      <c r="J7" s="191">
        <f>Beam!CB15</f>
        <v>0.15</v>
      </c>
      <c r="K7" s="192">
        <f>Beam!CJ20</f>
        <v>1.2</v>
      </c>
      <c r="L7" s="194">
        <f>Beam!CJ15</f>
        <v>8</v>
      </c>
      <c r="M7" s="191">
        <f>Beam!CK15</f>
        <v>0.15</v>
      </c>
      <c r="N7" s="192">
        <f>Beam!CA11</f>
        <v>1.5</v>
      </c>
      <c r="O7" s="192">
        <f>Beam!CJ11</f>
        <v>1.5</v>
      </c>
      <c r="P7" s="191">
        <f>Beam!P44</f>
        <v>2</v>
      </c>
      <c r="Q7" s="191">
        <f>Beam!R44</f>
        <v>12</v>
      </c>
      <c r="R7" s="191">
        <f>Beam!T44</f>
        <v>1</v>
      </c>
      <c r="S7" s="191">
        <f>Beam!V44</f>
        <v>20</v>
      </c>
      <c r="T7" s="191">
        <f>Beam!AD40</f>
        <v>2</v>
      </c>
      <c r="U7" s="191">
        <f>Beam!AF40</f>
        <v>16</v>
      </c>
      <c r="V7" s="191">
        <f>Beam!AG41</f>
        <v>1</v>
      </c>
      <c r="W7" s="191">
        <f>Beam!AI41</f>
        <v>20</v>
      </c>
      <c r="X7" s="192">
        <f>Beam!CE20</f>
        <v>0.25</v>
      </c>
      <c r="Y7" s="191">
        <f>IF(Beam!AJ41="x",1,0)</f>
        <v>1</v>
      </c>
      <c r="Z7" s="193">
        <f>Beam!AL41</f>
        <v>5</v>
      </c>
    </row>
    <row r="8" spans="1:27" x14ac:dyDescent="0.25">
      <c r="A8" s="192">
        <f>Beam!CW24</f>
        <v>5</v>
      </c>
      <c r="B8" s="191">
        <f>Beam!CY20</f>
        <v>0.6</v>
      </c>
      <c r="C8" s="192">
        <f>Beam!CX11</f>
        <v>0</v>
      </c>
      <c r="D8" s="192">
        <f>Beam!DK23</f>
        <v>0.25</v>
      </c>
      <c r="E8" s="192">
        <f>Beam!DK9</f>
        <v>0.25</v>
      </c>
      <c r="F8" s="191">
        <f>Beam!CW16</f>
        <v>8</v>
      </c>
      <c r="G8" s="192">
        <f>Beam!CX16</f>
        <v>0.2</v>
      </c>
      <c r="H8" s="192">
        <f>Beam!CS21</f>
        <v>1.2</v>
      </c>
      <c r="I8" s="191">
        <f>Beam!CS16</f>
        <v>8</v>
      </c>
      <c r="J8" s="191">
        <f>Beam!CT16</f>
        <v>0.15</v>
      </c>
      <c r="K8" s="192">
        <f>Beam!DB21</f>
        <v>1.2</v>
      </c>
      <c r="L8" s="194">
        <f>Beam!DB16</f>
        <v>8</v>
      </c>
      <c r="M8" s="192">
        <f>Beam!DC16</f>
        <v>0.15</v>
      </c>
      <c r="N8" s="192">
        <f>Beam!CS11</f>
        <v>1.5</v>
      </c>
      <c r="O8" s="192">
        <f>Beam!DB11</f>
        <v>0</v>
      </c>
      <c r="P8" s="191">
        <f>Beam!P45</f>
        <v>2</v>
      </c>
      <c r="Q8" s="191">
        <f>Beam!R45</f>
        <v>12</v>
      </c>
      <c r="R8" s="191">
        <f>Beam!T45</f>
        <v>1</v>
      </c>
      <c r="S8" s="191">
        <f>Beam!V45</f>
        <v>20</v>
      </c>
      <c r="T8" s="191">
        <f>Beam!AD42</f>
        <v>2</v>
      </c>
      <c r="U8" s="191">
        <f>Beam!AF42</f>
        <v>16</v>
      </c>
      <c r="V8" s="191">
        <f>Beam!AG43</f>
        <v>1</v>
      </c>
      <c r="W8" s="191">
        <f>Beam!AI43</f>
        <v>20</v>
      </c>
      <c r="X8" s="192">
        <f>Beam!CW20</f>
        <v>0.25</v>
      </c>
      <c r="Y8" s="191">
        <f>IF(Beam!AJ43="x",1,0)</f>
        <v>1</v>
      </c>
      <c r="Z8" s="193">
        <f>Beam!AL43</f>
        <v>6</v>
      </c>
    </row>
    <row r="9" spans="1:27" x14ac:dyDescent="0.25">
      <c r="A9" s="192">
        <f>Beam!DO24</f>
        <v>5</v>
      </c>
      <c r="B9" s="191">
        <f>Beam!DQ20</f>
        <v>0.6</v>
      </c>
      <c r="C9" s="192">
        <f>Beam!DP11</f>
        <v>0</v>
      </c>
      <c r="D9" s="192">
        <f>Beam!EC23</f>
        <v>0.25</v>
      </c>
      <c r="E9" s="192">
        <f>Beam!EC9</f>
        <v>0.25</v>
      </c>
      <c r="F9" s="191">
        <f>Beam!DO15</f>
        <v>8</v>
      </c>
      <c r="G9" s="191">
        <f>Beam!DP15</f>
        <v>0.2</v>
      </c>
      <c r="H9" s="192">
        <f>Beam!DK20</f>
        <v>1.2</v>
      </c>
      <c r="I9" s="191">
        <f>Beam!DK15</f>
        <v>8</v>
      </c>
      <c r="J9" s="191">
        <f>Beam!DL15</f>
        <v>0.15</v>
      </c>
      <c r="K9" s="192">
        <f>Beam!DT20</f>
        <v>1.2</v>
      </c>
      <c r="L9" s="194">
        <f>Beam!DT15</f>
        <v>8</v>
      </c>
      <c r="M9" s="191">
        <f>Beam!DU15</f>
        <v>0.15</v>
      </c>
      <c r="N9" s="192">
        <f>Beam!DK11</f>
        <v>1.5</v>
      </c>
      <c r="O9" s="192">
        <f>Beam!DT11</f>
        <v>1.5</v>
      </c>
      <c r="P9" s="191">
        <f>Beam!P46</f>
        <v>2</v>
      </c>
      <c r="Q9" s="191">
        <f>Beam!R46</f>
        <v>12</v>
      </c>
      <c r="R9" s="191">
        <f>Beam!T46</f>
        <v>1</v>
      </c>
      <c r="S9" s="191">
        <f>Beam!V46</f>
        <v>20</v>
      </c>
      <c r="T9" s="191">
        <f>Beam!AD44</f>
        <v>2</v>
      </c>
      <c r="U9" s="191">
        <f>Beam!AF44</f>
        <v>16</v>
      </c>
      <c r="V9" s="191">
        <f>Beam!AG45</f>
        <v>1</v>
      </c>
      <c r="W9" s="191">
        <f>Beam!AI45</f>
        <v>20</v>
      </c>
      <c r="X9" s="192">
        <f>Beam!DO20</f>
        <v>0.25</v>
      </c>
      <c r="Y9" s="191">
        <f>IF(Beam!AJ45="x",1,0)</f>
        <v>1</v>
      </c>
      <c r="Z9" s="193">
        <f>Beam!AL45</f>
        <v>7</v>
      </c>
    </row>
    <row r="10" spans="1:27" x14ac:dyDescent="0.25">
      <c r="A10" s="192">
        <f>Beam!EG24</f>
        <v>5</v>
      </c>
      <c r="B10" s="191">
        <f>Beam!EI20</f>
        <v>0.6</v>
      </c>
      <c r="C10" s="192">
        <f>Beam!EH11</f>
        <v>0</v>
      </c>
      <c r="D10" s="192">
        <f>Beam!EU23</f>
        <v>0.25</v>
      </c>
      <c r="E10" s="192">
        <f>Beam!EU9</f>
        <v>0.25</v>
      </c>
      <c r="F10" s="191">
        <f>Beam!EG16</f>
        <v>8</v>
      </c>
      <c r="G10" s="192">
        <f>Beam!EH16</f>
        <v>0.2</v>
      </c>
      <c r="H10" s="192">
        <f>Beam!EC21</f>
        <v>1.2</v>
      </c>
      <c r="I10" s="191">
        <f>Beam!EC16</f>
        <v>8</v>
      </c>
      <c r="J10" s="191">
        <f>Beam!ED16</f>
        <v>0.15</v>
      </c>
      <c r="K10" s="192">
        <f>Beam!EL21</f>
        <v>1.2</v>
      </c>
      <c r="L10" s="194">
        <f>Beam!EL16</f>
        <v>8</v>
      </c>
      <c r="M10" s="192">
        <f>Beam!EM16</f>
        <v>0.15</v>
      </c>
      <c r="N10" s="192">
        <f>Beam!EC11</f>
        <v>1.5</v>
      </c>
      <c r="O10" s="192">
        <f>Beam!EL11</f>
        <v>1.5</v>
      </c>
      <c r="P10" s="191">
        <f>Beam!P47</f>
        <v>2</v>
      </c>
      <c r="Q10" s="191">
        <f>Beam!R47</f>
        <v>12</v>
      </c>
      <c r="R10" s="191">
        <f>Beam!T47</f>
        <v>1</v>
      </c>
      <c r="S10" s="191">
        <f>Beam!V47</f>
        <v>20</v>
      </c>
      <c r="T10" s="191">
        <f>Beam!AD46</f>
        <v>2</v>
      </c>
      <c r="U10" s="191">
        <f>Beam!AF46</f>
        <v>16</v>
      </c>
      <c r="V10" s="191">
        <f>Beam!AG47</f>
        <v>1</v>
      </c>
      <c r="W10" s="191">
        <f>Beam!AI47</f>
        <v>20</v>
      </c>
      <c r="X10" s="192">
        <f>Beam!EG20</f>
        <v>0.25</v>
      </c>
      <c r="Y10" s="191">
        <v>0</v>
      </c>
      <c r="Z10" s="193">
        <v>0</v>
      </c>
    </row>
    <row r="11" spans="1:27" x14ac:dyDescent="0.25">
      <c r="T11" s="191"/>
      <c r="U11" s="191"/>
      <c r="V11" s="191"/>
      <c r="W11" s="191"/>
    </row>
    <row r="12" spans="1:27" x14ac:dyDescent="0.25">
      <c r="Y12" s="191"/>
    </row>
    <row r="13" spans="1:27" x14ac:dyDescent="0.25">
      <c r="T13" s="191"/>
      <c r="U13" s="191"/>
      <c r="V13" s="191"/>
      <c r="W13" s="191"/>
    </row>
    <row r="14" spans="1:27" x14ac:dyDescent="0.25">
      <c r="Y14" s="191"/>
    </row>
    <row r="15" spans="1:27" x14ac:dyDescent="0.25">
      <c r="A15" s="194">
        <f>A2</f>
        <v>8</v>
      </c>
      <c r="B15" s="191">
        <f>B2</f>
        <v>0.6</v>
      </c>
      <c r="C15" s="191">
        <f ca="1">A37-2000</f>
        <v>26</v>
      </c>
      <c r="D15" s="191">
        <f t="shared" ref="D15:W15" si="0">D2</f>
        <v>0.25</v>
      </c>
      <c r="E15" s="191">
        <f t="shared" si="0"/>
        <v>0.25</v>
      </c>
      <c r="F15" s="191">
        <f t="shared" si="0"/>
        <v>1</v>
      </c>
      <c r="G15" s="191">
        <f t="shared" si="0"/>
        <v>2</v>
      </c>
      <c r="H15" s="191">
        <f t="shared" si="0"/>
        <v>3</v>
      </c>
      <c r="I15" s="191">
        <f t="shared" si="0"/>
        <v>4</v>
      </c>
      <c r="J15" s="191">
        <f t="shared" si="0"/>
        <v>5</v>
      </c>
      <c r="K15" s="191">
        <f t="shared" si="0"/>
        <v>6</v>
      </c>
      <c r="L15" s="191">
        <f t="shared" si="0"/>
        <v>7</v>
      </c>
      <c r="M15" s="191">
        <f t="shared" si="0"/>
        <v>8</v>
      </c>
      <c r="N15" s="191">
        <f t="shared" si="0"/>
        <v>9</v>
      </c>
      <c r="O15" s="191">
        <f t="shared" si="0"/>
        <v>35</v>
      </c>
      <c r="P15" s="191">
        <f t="shared" si="0"/>
        <v>0.25</v>
      </c>
      <c r="Q15" s="191">
        <f t="shared" si="0"/>
        <v>0.25</v>
      </c>
      <c r="R15" s="191">
        <f t="shared" si="0"/>
        <v>1</v>
      </c>
      <c r="S15" s="191">
        <f t="shared" si="0"/>
        <v>1</v>
      </c>
      <c r="T15" s="191">
        <f t="shared" si="0"/>
        <v>2</v>
      </c>
      <c r="U15" s="191">
        <f t="shared" si="0"/>
        <v>16</v>
      </c>
      <c r="V15" s="191">
        <f t="shared" si="0"/>
        <v>1</v>
      </c>
      <c r="W15" s="191">
        <f t="shared" si="0"/>
        <v>20</v>
      </c>
      <c r="X15" s="191">
        <f t="shared" ref="X15:Z16" si="1">X2</f>
        <v>0</v>
      </c>
      <c r="Y15" s="191">
        <f t="shared" si="1"/>
        <v>0</v>
      </c>
      <c r="Z15" s="191">
        <f t="shared" si="1"/>
        <v>0</v>
      </c>
    </row>
    <row r="16" spans="1:27" x14ac:dyDescent="0.25">
      <c r="A16" s="194">
        <f>A3</f>
        <v>5</v>
      </c>
      <c r="B16" s="192">
        <f>B3</f>
        <v>0.6</v>
      </c>
      <c r="C16" s="192">
        <f t="shared" ref="C16:W16" si="2">C3</f>
        <v>0</v>
      </c>
      <c r="D16" s="192">
        <f t="shared" si="2"/>
        <v>0.5</v>
      </c>
      <c r="E16" s="192">
        <f t="shared" si="2"/>
        <v>0.5</v>
      </c>
      <c r="F16" s="192">
        <f t="shared" si="2"/>
        <v>8</v>
      </c>
      <c r="G16" s="192">
        <f t="shared" si="2"/>
        <v>0.2</v>
      </c>
      <c r="H16" s="192">
        <f t="shared" si="2"/>
        <v>1.2</v>
      </c>
      <c r="I16" s="192">
        <f t="shared" si="2"/>
        <v>8</v>
      </c>
      <c r="J16" s="192">
        <f t="shared" si="2"/>
        <v>0.15</v>
      </c>
      <c r="K16" s="192">
        <f t="shared" si="2"/>
        <v>1.2</v>
      </c>
      <c r="L16" s="192">
        <f t="shared" si="2"/>
        <v>8</v>
      </c>
      <c r="M16" s="192">
        <f t="shared" si="2"/>
        <v>0.15</v>
      </c>
      <c r="N16" s="192">
        <f t="shared" si="2"/>
        <v>1</v>
      </c>
      <c r="O16" s="192">
        <f t="shared" si="2"/>
        <v>1.2</v>
      </c>
      <c r="P16" s="195">
        <f t="shared" si="2"/>
        <v>2</v>
      </c>
      <c r="Q16" s="195">
        <f t="shared" si="2"/>
        <v>12</v>
      </c>
      <c r="R16" s="195">
        <f t="shared" si="2"/>
        <v>1</v>
      </c>
      <c r="S16" s="195">
        <f t="shared" si="2"/>
        <v>20</v>
      </c>
      <c r="T16" s="195">
        <f t="shared" si="2"/>
        <v>2</v>
      </c>
      <c r="U16" s="195">
        <f t="shared" si="2"/>
        <v>16</v>
      </c>
      <c r="V16" s="195">
        <f t="shared" si="2"/>
        <v>1</v>
      </c>
      <c r="W16" s="195">
        <f t="shared" si="2"/>
        <v>20</v>
      </c>
      <c r="X16" s="194">
        <f t="shared" si="1"/>
        <v>0.25</v>
      </c>
      <c r="Y16" s="194">
        <f t="shared" si="1"/>
        <v>1</v>
      </c>
      <c r="Z16" s="194">
        <f t="shared" si="1"/>
        <v>1</v>
      </c>
    </row>
    <row r="17" spans="1:26" x14ac:dyDescent="0.25">
      <c r="A17" s="194">
        <f>IF($A$15&gt;=2,A4,"")</f>
        <v>5</v>
      </c>
      <c r="B17" s="191">
        <f>IF($A$15&gt;=2,B4,"")</f>
        <v>0.95</v>
      </c>
      <c r="C17" s="191">
        <f t="shared" ref="C17:W17" si="3">IF($A$15&gt;=2,C4,"")</f>
        <v>0.2</v>
      </c>
      <c r="D17" s="191">
        <f t="shared" si="3"/>
        <v>0.5</v>
      </c>
      <c r="E17" s="191">
        <f t="shared" si="3"/>
        <v>0.5</v>
      </c>
      <c r="F17" s="191">
        <f t="shared" si="3"/>
        <v>8</v>
      </c>
      <c r="G17" s="191">
        <f t="shared" si="3"/>
        <v>0.2</v>
      </c>
      <c r="H17" s="191">
        <f t="shared" si="3"/>
        <v>1.2</v>
      </c>
      <c r="I17" s="191">
        <f t="shared" si="3"/>
        <v>8</v>
      </c>
      <c r="J17" s="191">
        <f t="shared" si="3"/>
        <v>0.15</v>
      </c>
      <c r="K17" s="191">
        <f t="shared" si="3"/>
        <v>1.2</v>
      </c>
      <c r="L17" s="191">
        <f t="shared" si="3"/>
        <v>8</v>
      </c>
      <c r="M17" s="191">
        <f t="shared" si="3"/>
        <v>0.15</v>
      </c>
      <c r="N17" s="191">
        <f t="shared" si="3"/>
        <v>1.2</v>
      </c>
      <c r="O17" s="191">
        <f t="shared" si="3"/>
        <v>1.5</v>
      </c>
      <c r="P17" s="191">
        <f t="shared" si="3"/>
        <v>2</v>
      </c>
      <c r="Q17" s="191">
        <f t="shared" si="3"/>
        <v>12</v>
      </c>
      <c r="R17" s="191">
        <f t="shared" si="3"/>
        <v>1</v>
      </c>
      <c r="S17" s="191">
        <f t="shared" si="3"/>
        <v>20</v>
      </c>
      <c r="T17" s="191">
        <f t="shared" si="3"/>
        <v>2</v>
      </c>
      <c r="U17" s="191">
        <f t="shared" si="3"/>
        <v>16</v>
      </c>
      <c r="V17" s="191">
        <f t="shared" si="3"/>
        <v>1</v>
      </c>
      <c r="W17" s="191">
        <f t="shared" si="3"/>
        <v>20</v>
      </c>
      <c r="X17" s="191">
        <f>IF($A$15&gt;=2,X4,"")</f>
        <v>0.25</v>
      </c>
      <c r="Y17" s="191">
        <f>IF($A$15&gt;=2,Y4,"")</f>
        <v>1</v>
      </c>
      <c r="Z17" s="191">
        <f>IF($A$15&gt;=2,Z4,"")</f>
        <v>2</v>
      </c>
    </row>
    <row r="18" spans="1:26" x14ac:dyDescent="0.25">
      <c r="A18" s="194">
        <f>IF($A$15&gt;=3,A5,"")</f>
        <v>4</v>
      </c>
      <c r="B18" s="191">
        <f>IF($A$15&gt;=3,B5,"")</f>
        <v>0.6</v>
      </c>
      <c r="C18" s="191">
        <f t="shared" ref="C18:S18" si="4">IF($A$15&gt;=3,C5,"")</f>
        <v>0.2</v>
      </c>
      <c r="D18" s="191">
        <f t="shared" si="4"/>
        <v>0.5</v>
      </c>
      <c r="E18" s="191">
        <f t="shared" si="4"/>
        <v>0.5</v>
      </c>
      <c r="F18" s="191">
        <f t="shared" si="4"/>
        <v>8</v>
      </c>
      <c r="G18" s="191">
        <f t="shared" si="4"/>
        <v>0.2</v>
      </c>
      <c r="H18" s="191">
        <f t="shared" si="4"/>
        <v>1.2</v>
      </c>
      <c r="I18" s="191">
        <f t="shared" si="4"/>
        <v>8</v>
      </c>
      <c r="J18" s="191">
        <f t="shared" si="4"/>
        <v>0.15</v>
      </c>
      <c r="K18" s="191">
        <f t="shared" si="4"/>
        <v>1.2</v>
      </c>
      <c r="L18" s="191">
        <f t="shared" si="4"/>
        <v>8</v>
      </c>
      <c r="M18" s="191">
        <f t="shared" si="4"/>
        <v>0.15</v>
      </c>
      <c r="N18" s="191">
        <f t="shared" si="4"/>
        <v>1.5</v>
      </c>
      <c r="O18" s="191">
        <f t="shared" si="4"/>
        <v>1.5</v>
      </c>
      <c r="P18" s="191">
        <f t="shared" si="4"/>
        <v>2</v>
      </c>
      <c r="Q18" s="191">
        <f t="shared" si="4"/>
        <v>12</v>
      </c>
      <c r="R18" s="191">
        <f t="shared" si="4"/>
        <v>1</v>
      </c>
      <c r="S18" s="191">
        <f t="shared" si="4"/>
        <v>20</v>
      </c>
      <c r="T18" s="191">
        <f t="shared" ref="T18:Z18" si="5">IF($A$15&gt;=3,T5,"")</f>
        <v>2</v>
      </c>
      <c r="U18" s="191">
        <f t="shared" si="5"/>
        <v>16</v>
      </c>
      <c r="V18" s="191">
        <f t="shared" si="5"/>
        <v>1</v>
      </c>
      <c r="W18" s="191">
        <f t="shared" si="5"/>
        <v>20</v>
      </c>
      <c r="X18" s="191">
        <f t="shared" si="5"/>
        <v>0.25</v>
      </c>
      <c r="Y18" s="191">
        <f t="shared" si="5"/>
        <v>1</v>
      </c>
      <c r="Z18" s="191">
        <f t="shared" si="5"/>
        <v>3</v>
      </c>
    </row>
    <row r="19" spans="1:26" x14ac:dyDescent="0.25">
      <c r="A19" s="191">
        <f>IF($A$15&gt;=4,A6,"")</f>
        <v>3</v>
      </c>
      <c r="B19" s="191">
        <f>IF($A$15&gt;=4,B6,"")</f>
        <v>0.6</v>
      </c>
      <c r="C19" s="191">
        <f t="shared" ref="C19:S19" si="6">IF($A$15&gt;=4,C6,"")</f>
        <v>0</v>
      </c>
      <c r="D19" s="191">
        <f t="shared" si="6"/>
        <v>0.25</v>
      </c>
      <c r="E19" s="191">
        <f t="shared" si="6"/>
        <v>0.25</v>
      </c>
      <c r="F19" s="191">
        <f t="shared" si="6"/>
        <v>8</v>
      </c>
      <c r="G19" s="191">
        <f t="shared" si="6"/>
        <v>0.2</v>
      </c>
      <c r="H19" s="191">
        <f t="shared" si="6"/>
        <v>1.2</v>
      </c>
      <c r="I19" s="191">
        <f t="shared" si="6"/>
        <v>8</v>
      </c>
      <c r="J19" s="191">
        <f t="shared" si="6"/>
        <v>0.15</v>
      </c>
      <c r="K19" s="191">
        <f t="shared" si="6"/>
        <v>1.2</v>
      </c>
      <c r="L19" s="191">
        <f t="shared" si="6"/>
        <v>8</v>
      </c>
      <c r="M19" s="191">
        <f t="shared" si="6"/>
        <v>0.15</v>
      </c>
      <c r="N19" s="191">
        <f t="shared" si="6"/>
        <v>1.5</v>
      </c>
      <c r="O19" s="191">
        <f t="shared" si="6"/>
        <v>1.5</v>
      </c>
      <c r="P19" s="191">
        <f t="shared" si="6"/>
        <v>2</v>
      </c>
      <c r="Q19" s="191">
        <f t="shared" si="6"/>
        <v>12</v>
      </c>
      <c r="R19" s="191">
        <f t="shared" si="6"/>
        <v>1</v>
      </c>
      <c r="S19" s="191">
        <f t="shared" si="6"/>
        <v>20</v>
      </c>
      <c r="T19" s="191">
        <f t="shared" ref="T19:Z19" si="7">IF($A$15&gt;=4,T6,"")</f>
        <v>2</v>
      </c>
      <c r="U19" s="191">
        <f t="shared" si="7"/>
        <v>16</v>
      </c>
      <c r="V19" s="191">
        <f t="shared" si="7"/>
        <v>1</v>
      </c>
      <c r="W19" s="191">
        <f t="shared" si="7"/>
        <v>20</v>
      </c>
      <c r="X19" s="191">
        <f t="shared" si="7"/>
        <v>0.25</v>
      </c>
      <c r="Y19" s="191">
        <f t="shared" si="7"/>
        <v>1</v>
      </c>
      <c r="Z19" s="191">
        <f t="shared" si="7"/>
        <v>4</v>
      </c>
    </row>
    <row r="20" spans="1:26" x14ac:dyDescent="0.25">
      <c r="A20" s="191">
        <f>IF($A$15&gt;=5,A7,"")</f>
        <v>3</v>
      </c>
      <c r="B20" s="191">
        <f>IF($A$15&gt;=5,B7,"")</f>
        <v>0.6</v>
      </c>
      <c r="C20" s="191">
        <f t="shared" ref="C20:S20" si="8">IF($A$15&gt;=5,C7,"")</f>
        <v>0</v>
      </c>
      <c r="D20" s="191">
        <f t="shared" si="8"/>
        <v>0.25</v>
      </c>
      <c r="E20" s="191">
        <f t="shared" si="8"/>
        <v>0.25</v>
      </c>
      <c r="F20" s="191">
        <f t="shared" si="8"/>
        <v>8</v>
      </c>
      <c r="G20" s="191">
        <f t="shared" si="8"/>
        <v>0.2</v>
      </c>
      <c r="H20" s="191">
        <f t="shared" si="8"/>
        <v>1.2</v>
      </c>
      <c r="I20" s="191">
        <f t="shared" si="8"/>
        <v>8</v>
      </c>
      <c r="J20" s="191">
        <f t="shared" si="8"/>
        <v>0.15</v>
      </c>
      <c r="K20" s="191">
        <f t="shared" si="8"/>
        <v>1.2</v>
      </c>
      <c r="L20" s="191">
        <f t="shared" si="8"/>
        <v>8</v>
      </c>
      <c r="M20" s="191">
        <f t="shared" si="8"/>
        <v>0.15</v>
      </c>
      <c r="N20" s="191">
        <f t="shared" si="8"/>
        <v>1.5</v>
      </c>
      <c r="O20" s="191">
        <f t="shared" si="8"/>
        <v>1.5</v>
      </c>
      <c r="P20" s="191">
        <f t="shared" si="8"/>
        <v>2</v>
      </c>
      <c r="Q20" s="191">
        <f t="shared" si="8"/>
        <v>12</v>
      </c>
      <c r="R20" s="191">
        <f t="shared" si="8"/>
        <v>1</v>
      </c>
      <c r="S20" s="191">
        <f t="shared" si="8"/>
        <v>20</v>
      </c>
      <c r="T20" s="191">
        <f t="shared" ref="T20:Z20" si="9">IF($A$15&gt;=5,T7,"")</f>
        <v>2</v>
      </c>
      <c r="U20" s="191">
        <f t="shared" si="9"/>
        <v>16</v>
      </c>
      <c r="V20" s="191">
        <f t="shared" si="9"/>
        <v>1</v>
      </c>
      <c r="W20" s="191">
        <f t="shared" si="9"/>
        <v>20</v>
      </c>
      <c r="X20" s="191">
        <f t="shared" si="9"/>
        <v>0.25</v>
      </c>
      <c r="Y20" s="191">
        <f t="shared" si="9"/>
        <v>1</v>
      </c>
      <c r="Z20" s="191">
        <f t="shared" si="9"/>
        <v>5</v>
      </c>
    </row>
    <row r="21" spans="1:26" x14ac:dyDescent="0.25">
      <c r="A21" s="191">
        <f>IF($A$15&gt;=6,A8,"")</f>
        <v>5</v>
      </c>
      <c r="B21" s="191">
        <f>IF($A$15&gt;=6,B8,"")</f>
        <v>0.6</v>
      </c>
      <c r="C21" s="191">
        <f t="shared" ref="C21:S21" si="10">IF($A$15&gt;=6,C8,"")</f>
        <v>0</v>
      </c>
      <c r="D21" s="191">
        <f t="shared" si="10"/>
        <v>0.25</v>
      </c>
      <c r="E21" s="191">
        <f t="shared" si="10"/>
        <v>0.25</v>
      </c>
      <c r="F21" s="191">
        <f t="shared" si="10"/>
        <v>8</v>
      </c>
      <c r="G21" s="191">
        <f t="shared" si="10"/>
        <v>0.2</v>
      </c>
      <c r="H21" s="191">
        <f t="shared" si="10"/>
        <v>1.2</v>
      </c>
      <c r="I21" s="191">
        <f t="shared" si="10"/>
        <v>8</v>
      </c>
      <c r="J21" s="191">
        <f t="shared" si="10"/>
        <v>0.15</v>
      </c>
      <c r="K21" s="191">
        <f t="shared" si="10"/>
        <v>1.2</v>
      </c>
      <c r="L21" s="191">
        <f t="shared" si="10"/>
        <v>8</v>
      </c>
      <c r="M21" s="191">
        <f t="shared" si="10"/>
        <v>0.15</v>
      </c>
      <c r="N21" s="191">
        <f t="shared" si="10"/>
        <v>1.5</v>
      </c>
      <c r="O21" s="191">
        <f t="shared" si="10"/>
        <v>0</v>
      </c>
      <c r="P21" s="191">
        <f t="shared" si="10"/>
        <v>2</v>
      </c>
      <c r="Q21" s="191">
        <f t="shared" si="10"/>
        <v>12</v>
      </c>
      <c r="R21" s="191">
        <f t="shared" si="10"/>
        <v>1</v>
      </c>
      <c r="S21" s="191">
        <f t="shared" si="10"/>
        <v>20</v>
      </c>
      <c r="T21" s="191">
        <f t="shared" ref="T21:Z21" si="11">IF($A$15&gt;=6,T8,"")</f>
        <v>2</v>
      </c>
      <c r="U21" s="191">
        <f t="shared" si="11"/>
        <v>16</v>
      </c>
      <c r="V21" s="191">
        <f t="shared" si="11"/>
        <v>1</v>
      </c>
      <c r="W21" s="191">
        <f t="shared" si="11"/>
        <v>20</v>
      </c>
      <c r="X21" s="191">
        <f t="shared" si="11"/>
        <v>0.25</v>
      </c>
      <c r="Y21" s="191">
        <f t="shared" si="11"/>
        <v>1</v>
      </c>
      <c r="Z21" s="191">
        <f t="shared" si="11"/>
        <v>6</v>
      </c>
    </row>
    <row r="22" spans="1:26" x14ac:dyDescent="0.25">
      <c r="A22" s="191">
        <f>IF($A$15&gt;=7,A9,"")</f>
        <v>5</v>
      </c>
      <c r="B22" s="191">
        <f>IF($A$15&gt;=7,B9,"")</f>
        <v>0.6</v>
      </c>
      <c r="C22" s="191">
        <f t="shared" ref="C22:S22" si="12">IF($A$15&gt;=7,C9,"")</f>
        <v>0</v>
      </c>
      <c r="D22" s="191">
        <f t="shared" si="12"/>
        <v>0.25</v>
      </c>
      <c r="E22" s="191">
        <f t="shared" si="12"/>
        <v>0.25</v>
      </c>
      <c r="F22" s="191">
        <f t="shared" si="12"/>
        <v>8</v>
      </c>
      <c r="G22" s="191">
        <f t="shared" si="12"/>
        <v>0.2</v>
      </c>
      <c r="H22" s="191">
        <f t="shared" si="12"/>
        <v>1.2</v>
      </c>
      <c r="I22" s="191">
        <f t="shared" si="12"/>
        <v>8</v>
      </c>
      <c r="J22" s="191">
        <f t="shared" si="12"/>
        <v>0.15</v>
      </c>
      <c r="K22" s="191">
        <f t="shared" si="12"/>
        <v>1.2</v>
      </c>
      <c r="L22" s="191">
        <f t="shared" si="12"/>
        <v>8</v>
      </c>
      <c r="M22" s="191">
        <f t="shared" si="12"/>
        <v>0.15</v>
      </c>
      <c r="N22" s="191">
        <f t="shared" si="12"/>
        <v>1.5</v>
      </c>
      <c r="O22" s="191">
        <f t="shared" si="12"/>
        <v>1.5</v>
      </c>
      <c r="P22" s="191">
        <f t="shared" si="12"/>
        <v>2</v>
      </c>
      <c r="Q22" s="191">
        <f t="shared" si="12"/>
        <v>12</v>
      </c>
      <c r="R22" s="191">
        <f t="shared" si="12"/>
        <v>1</v>
      </c>
      <c r="S22" s="191">
        <f t="shared" si="12"/>
        <v>20</v>
      </c>
      <c r="T22" s="191">
        <f t="shared" ref="T22:Z22" si="13">IF($A$15&gt;=7,T9,"")</f>
        <v>2</v>
      </c>
      <c r="U22" s="191">
        <f t="shared" si="13"/>
        <v>16</v>
      </c>
      <c r="V22" s="191">
        <f t="shared" si="13"/>
        <v>1</v>
      </c>
      <c r="W22" s="191">
        <f t="shared" si="13"/>
        <v>20</v>
      </c>
      <c r="X22" s="191">
        <f t="shared" si="13"/>
        <v>0.25</v>
      </c>
      <c r="Y22" s="191">
        <f t="shared" si="13"/>
        <v>1</v>
      </c>
      <c r="Z22" s="191">
        <f t="shared" si="13"/>
        <v>7</v>
      </c>
    </row>
    <row r="23" spans="1:26" x14ac:dyDescent="0.25">
      <c r="A23" s="191">
        <f>IF($A$15&gt;=8,A10,"")</f>
        <v>5</v>
      </c>
      <c r="B23" s="191">
        <f>IF($A$15&gt;=8,B10,"")</f>
        <v>0.6</v>
      </c>
      <c r="C23" s="191">
        <f t="shared" ref="C23:S23" si="14">IF($A$15&gt;=8,C10,"")</f>
        <v>0</v>
      </c>
      <c r="D23" s="191">
        <f t="shared" si="14"/>
        <v>0.25</v>
      </c>
      <c r="E23" s="191">
        <f t="shared" si="14"/>
        <v>0.25</v>
      </c>
      <c r="F23" s="191">
        <f t="shared" si="14"/>
        <v>8</v>
      </c>
      <c r="G23" s="191">
        <f t="shared" si="14"/>
        <v>0.2</v>
      </c>
      <c r="H23" s="191">
        <f t="shared" si="14"/>
        <v>1.2</v>
      </c>
      <c r="I23" s="191">
        <f t="shared" si="14"/>
        <v>8</v>
      </c>
      <c r="J23" s="191">
        <f t="shared" si="14"/>
        <v>0.15</v>
      </c>
      <c r="K23" s="191">
        <f t="shared" si="14"/>
        <v>1.2</v>
      </c>
      <c r="L23" s="191">
        <f t="shared" si="14"/>
        <v>8</v>
      </c>
      <c r="M23" s="191">
        <f t="shared" si="14"/>
        <v>0.15</v>
      </c>
      <c r="N23" s="191">
        <f t="shared" si="14"/>
        <v>1.5</v>
      </c>
      <c r="O23" s="191">
        <f t="shared" si="14"/>
        <v>1.5</v>
      </c>
      <c r="P23" s="191">
        <f t="shared" si="14"/>
        <v>2</v>
      </c>
      <c r="Q23" s="191">
        <f t="shared" si="14"/>
        <v>12</v>
      </c>
      <c r="R23" s="191">
        <f t="shared" si="14"/>
        <v>1</v>
      </c>
      <c r="S23" s="191">
        <f t="shared" si="14"/>
        <v>20</v>
      </c>
      <c r="T23" s="191">
        <f t="shared" ref="T23:Z23" si="15">IF($A$15&gt;=8,T10,"")</f>
        <v>2</v>
      </c>
      <c r="U23" s="191">
        <f t="shared" si="15"/>
        <v>16</v>
      </c>
      <c r="V23" s="191">
        <f t="shared" si="15"/>
        <v>1</v>
      </c>
      <c r="W23" s="191">
        <f t="shared" si="15"/>
        <v>20</v>
      </c>
      <c r="X23" s="191">
        <f t="shared" si="15"/>
        <v>0.25</v>
      </c>
      <c r="Y23" s="191">
        <f t="shared" si="15"/>
        <v>0</v>
      </c>
      <c r="Z23" s="191">
        <f t="shared" si="15"/>
        <v>0</v>
      </c>
    </row>
    <row r="24" spans="1:26" x14ac:dyDescent="0.25">
      <c r="T24" s="191"/>
      <c r="U24" s="191"/>
      <c r="V24" s="191"/>
      <c r="W24" s="191"/>
    </row>
    <row r="25" spans="1:26" x14ac:dyDescent="0.25">
      <c r="T25" s="191"/>
      <c r="U25" s="191"/>
      <c r="V25" s="191"/>
      <c r="W25" s="191"/>
    </row>
    <row r="26" spans="1:26" x14ac:dyDescent="0.25">
      <c r="T26" s="191"/>
      <c r="U26" s="191"/>
      <c r="V26" s="191"/>
      <c r="W26" s="191"/>
    </row>
    <row r="27" spans="1:26" x14ac:dyDescent="0.25">
      <c r="T27" s="191"/>
      <c r="U27" s="191"/>
      <c r="V27" s="191"/>
      <c r="W27" s="191"/>
    </row>
    <row r="28" spans="1:26" x14ac:dyDescent="0.25">
      <c r="T28" s="191"/>
      <c r="U28" s="191"/>
      <c r="V28" s="191"/>
      <c r="W28" s="191"/>
    </row>
    <row r="29" spans="1:26" x14ac:dyDescent="0.25">
      <c r="T29" s="191"/>
      <c r="U29" s="191"/>
      <c r="V29" s="191"/>
      <c r="W29" s="191"/>
    </row>
    <row r="30" spans="1:26" x14ac:dyDescent="0.25">
      <c r="T30" s="191"/>
      <c r="U30" s="191"/>
      <c r="V30" s="191"/>
      <c r="W30" s="191"/>
    </row>
    <row r="32" spans="1:26" x14ac:dyDescent="0.25">
      <c r="H32" s="193">
        <v>1</v>
      </c>
    </row>
    <row r="37" spans="1:1" x14ac:dyDescent="0.25">
      <c r="A37" s="193">
        <f ca="1">YEAR(A38)</f>
        <v>2026</v>
      </c>
    </row>
    <row r="38" spans="1:1" x14ac:dyDescent="0.25">
      <c r="A38" s="196">
        <f ca="1">TODAY()</f>
        <v>46250</v>
      </c>
    </row>
  </sheetData>
  <sheetProtection algorithmName="SHA-512" hashValue="WIvGhWgNqWEIS5qqvzeBycTRtEvrXOw18BfjklY245zf+1DIGVQo2FtVR5nh8CWVyAzYNpz92y34dCsBd1/nQw==" saltValue="leqV9UU9hRutiZ+mOyIO/g==" spinCount="100000" sheet="1" objects="1" scenarios="1"/>
  <phoneticPr fontId="2" type="noConversion"/>
  <pageMargins left="0.75" right="0.75" top="1" bottom="1" header="0" footer="0"/>
  <pageSetup paperSize="9" orientation="portrait" horizontalDpi="4294967293" verticalDpi="0" r:id="rId1"/>
  <headerFooter alignWithMargins="0"/>
  <ignoredErrors>
    <ignoredError sqref="C1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Beam</vt:lpstr>
      <vt:lpstr>FICHEIRO.prn </vt:lpstr>
      <vt:lpstr>Folha3</vt:lpstr>
      <vt:lpstr>Beam!Print_Area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sardor durumov</cp:lastModifiedBy>
  <cp:lastPrinted>2003-11-05T17:34:40Z</cp:lastPrinted>
  <dcterms:created xsi:type="dcterms:W3CDTF">2002-11-25T14:40:31Z</dcterms:created>
  <dcterms:modified xsi:type="dcterms:W3CDTF">2026-08-16T08:49:20Z</dcterms:modified>
</cp:coreProperties>
</file>